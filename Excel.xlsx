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Excel\"/>
    </mc:Choice>
  </mc:AlternateContent>
  <xr:revisionPtr revIDLastSave="0" documentId="13_ncr:1_{87061C22-C055-45CD-BF92-06DCB39AA22C}" xr6:coauthVersionLast="47" xr6:coauthVersionMax="47" xr10:uidLastSave="{00000000-0000-0000-0000-000000000000}"/>
  <bookViews>
    <workbookView xWindow="-105" yWindow="0" windowWidth="14610" windowHeight="15585" tabRatio="809" activeTab="5" xr2:uid="{884BBBA3-2A8D-417C-8A60-C144129D30F5}"/>
  </bookViews>
  <sheets>
    <sheet name="Data" sheetId="2" r:id="rId1"/>
    <sheet name="Tablas" sheetId="3" r:id="rId2"/>
    <sheet name="Buscar" sheetId="1" r:id="rId3"/>
    <sheet name="Manip Tablas" sheetId="4" r:id="rId4"/>
    <sheet name="Operar Tablas" sheetId="5" r:id="rId5"/>
    <sheet name="Resto" sheetId="6" r:id="rId6"/>
  </sheets>
  <definedNames>
    <definedName name="DatosExternos_1" localSheetId="0" hidden="1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" i="5" l="1"/>
  <c r="L12" i="5" a="1"/>
  <c r="A16" i="5"/>
  <c r="A15" i="5"/>
  <c r="I16" i="5"/>
  <c r="I12" i="5" a="1"/>
  <c r="A13" i="5"/>
  <c r="A12" i="5"/>
  <c r="L6" i="5"/>
  <c r="L2" i="5" a="1"/>
  <c r="A10" i="5"/>
  <c r="A9" i="5"/>
  <c r="I6" i="5"/>
  <c r="I2" i="5" a="1"/>
  <c r="BR13" i="4"/>
  <c r="BR12" i="4"/>
  <c r="BR11" i="4"/>
  <c r="BR10" i="4"/>
  <c r="BR9" i="4"/>
  <c r="CG2" i="4" a="1"/>
  <c r="CE2" i="4" a="1"/>
  <c r="CC2" i="4" a="1"/>
  <c r="BY2" i="4" a="1"/>
  <c r="BW2" i="4" a="1"/>
  <c r="BA7" i="4"/>
  <c r="BA6" i="4"/>
  <c r="BH1" i="4" a="1"/>
  <c r="BL1" i="4" a="1"/>
  <c r="BL2" i="4" a="1"/>
  <c r="BH2" i="4" a="1"/>
  <c r="AP6" i="4"/>
  <c r="AW2" i="4" a="1"/>
  <c r="AB7" i="4"/>
  <c r="AI2" i="4" a="1"/>
  <c r="AL2" i="4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AB6" i="4"/>
  <c r="P6" i="4"/>
  <c r="I16" i="1" a="1"/>
  <c r="J13" i="1"/>
  <c r="J12" i="1"/>
  <c r="H1" i="1" a="1"/>
  <c r="I1" i="1" s="1" a="1"/>
  <c r="C6" i="4"/>
  <c r="C18" i="1"/>
  <c r="C17" i="1"/>
  <c r="C16" i="1"/>
  <c r="D6" i="3"/>
  <c r="D5" i="3"/>
  <c r="D4" i="3"/>
  <c r="D3" i="3"/>
  <c r="G2" i="3"/>
  <c r="F2" i="3"/>
  <c r="E2" i="3"/>
  <c r="D2" i="3"/>
  <c r="C7" i="1"/>
  <c r="C6" i="1"/>
  <c r="AG1" i="4" l="1" a="1"/>
  <c r="I2" i="4" a="1"/>
  <c r="U2" i="4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<sst xmlns="http://schemas.openxmlformats.org/spreadsheetml/2006/main" count="149" uniqueCount="77">
  <si>
    <t>BUSCARX</t>
  </si>
  <si>
    <t>A</t>
  </si>
  <si>
    <t>B</t>
  </si>
  <si>
    <t>C</t>
  </si>
  <si>
    <t>D</t>
  </si>
  <si>
    <t>E</t>
  </si>
  <si>
    <t>F</t>
  </si>
  <si>
    <t>Letras</t>
  </si>
  <si>
    <t>Número</t>
  </si>
  <si>
    <t>Suma</t>
  </si>
  <si>
    <t>Contar</t>
  </si>
  <si>
    <t>Media</t>
  </si>
  <si>
    <t>Varianza</t>
  </si>
  <si>
    <t>G</t>
  </si>
  <si>
    <t>BUSCAR EN UNA MATRIZ Y TE DEVUELVE LA COINCIDENCIA</t>
  </si>
  <si>
    <t>COLUMNA</t>
  </si>
  <si>
    <t>FILA</t>
  </si>
  <si>
    <t>INDICE</t>
  </si>
  <si>
    <t>DEVUELVE EL VALOR EN LAS COORDENADAS</t>
  </si>
  <si>
    <t>MAX</t>
  </si>
  <si>
    <t>MANUAL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</si>
  <si>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</si>
  <si>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</si>
  <si>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</si>
  <si>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</si>
  <si>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</si>
  <si>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</si>
  <si>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</si>
  <si>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</si>
  <si>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</si>
  <si>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</si>
  <si>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</si>
  <si>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</si>
  <si>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</si>
  <si>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</si>
  <si>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Y</t>
  </si>
  <si>
    <t>U</t>
  </si>
  <si>
    <t>V</t>
  </si>
  <si>
    <t>W</t>
  </si>
  <si>
    <t>X</t>
  </si>
  <si>
    <t>Z</t>
  </si>
  <si>
    <t>FILTRAR</t>
  </si>
  <si>
    <t>Letra</t>
  </si>
  <si>
    <t>Número filtro</t>
  </si>
  <si>
    <t>ORDENA LA TABLA</t>
  </si>
  <si>
    <t>Mayor Que la Media</t>
  </si>
  <si>
    <t>Mayor que la Media</t>
  </si>
  <si>
    <t>ORDENARPOR</t>
  </si>
  <si>
    <t>UNICOS</t>
  </si>
  <si>
    <t>SELECCIONA LOS VALORES UNICOS DE LA TABLA</t>
  </si>
  <si>
    <t>Acum</t>
  </si>
  <si>
    <t>Porcentaje de Duplicados</t>
  </si>
  <si>
    <t>INDIRECTO</t>
  </si>
  <si>
    <t>DESREF</t>
  </si>
  <si>
    <t>SECUENCIA</t>
  </si>
  <si>
    <t>FILAS</t>
  </si>
  <si>
    <t>COLUMNAS</t>
  </si>
  <si>
    <t>INICIO</t>
  </si>
  <si>
    <t>PASO</t>
  </si>
  <si>
    <t>ELABORAR TABLAS, INDICES DINÁMICOS</t>
  </si>
  <si>
    <t>TOMAR, EXCLUIR</t>
  </si>
  <si>
    <t>TOMAR O EXCLUIR COLUMNAS</t>
  </si>
  <si>
    <t>REDUCIR DIMENSIONES</t>
  </si>
  <si>
    <t>APILAR</t>
  </si>
  <si>
    <t>ENCOL</t>
  </si>
  <si>
    <t>ELEGIRCOLS</t>
  </si>
  <si>
    <t>APILARV</t>
  </si>
  <si>
    <t>APILARH</t>
  </si>
  <si>
    <t>ELEGIRFILS</t>
  </si>
  <si>
    <t>SUMAR</t>
  </si>
  <si>
    <t>CONTAR</t>
  </si>
  <si>
    <t>PROMEDIO</t>
  </si>
  <si>
    <t>MAX - MIN</t>
  </si>
  <si>
    <t>.SI.CONJUNTO (OPERA EN ESTE CONJUNTO)</t>
  </si>
  <si>
    <t>&lt;10</t>
  </si>
  <si>
    <t>&gt;5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</si>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</sst>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C7D2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9" xfId="0" applyFill="1" applyBorder="1"/>
    <xf numFmtId="0" fontId="0" fillId="4" borderId="8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0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5" xfId="0" applyFill="1" applyBorder="1"/>
    <xf numFmtId="0" fontId="0" fillId="4" borderId="14" xfId="0" applyFill="1" applyBorder="1"/>
    <xf numFmtId="0" fontId="2" fillId="6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/>
    <xf numFmtId="0" fontId="0" fillId="4" borderId="5" xfId="0" applyFill="1" applyBorder="1" applyAlignment="1"/>
    <xf numFmtId="0" fontId="0" fillId="4" borderId="6" xfId="0" applyFill="1" applyBorder="1" applyAlignment="1"/>
    <xf numFmtId="0" fontId="0" fillId="4" borderId="7" xfId="0" applyFill="1" applyBorder="1" applyAlignment="1"/>
    <xf numFmtId="0" fontId="0" fillId="2" borderId="0" xfId="0" applyFill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1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43"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3C7D2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3C7D2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3C7D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362A80-8C98-45D7-827C-7322B89023F1}" name="Data" displayName="Data" ref="A1:D55" totalsRowShown="0" headerRowDxfId="37" headerRowBorderDxfId="35" tableBorderDxfId="36">
  <autoFilter ref="A1:D55" xr:uid="{DA362A80-8C98-45D7-827C-7322B89023F1}"/>
  <tableColumns count="4">
    <tableColumn id="1" xr3:uid="{05EB2B8C-D8F9-4F26-9AFA-863B054974AB}" name="Letras" dataDxfId="34"/>
    <tableColumn id="2" xr3:uid="{BB5B49C2-242D-4706-BC04-B656C7CBED47}" name="Número" dataDxfId="33"/>
    <tableColumn id="4" xr3:uid="{768E8898-4D73-450A-A118-BFACCC88C7A4}" name="Acum" dataDxfId="31"/>
    <tableColumn id="3" xr3:uid="{AC572EA9-B635-420E-B0A8-9E3A81075EC9}" name="Mayor Que la Media" dataDxfId="32">
      <calculatedColumnFormula>Data[[#This Row],[Número]]&gt;AVERAGE(Data[Número])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0B4E7C-C672-4890-9842-1130DFDFA8CA}" name="Tabla2" displayName="Tabla2" ref="A1:B7" totalsRowShown="0" headerRowDxfId="42" headerRowBorderDxfId="40" tableBorderDxfId="41">
  <autoFilter ref="A1:B7" xr:uid="{C10B4E7C-C672-4890-9842-1130DFDFA8CA}"/>
  <tableColumns count="2">
    <tableColumn id="1" xr3:uid="{3D74C32A-BC2A-4AAD-88E0-C93B2915D8EA}" name="Letras" dataDxfId="39"/>
    <tableColumn id="2" xr3:uid="{066A62FC-5FFD-4F2A-8BBB-729034D279A5}" name="Número" dataDxfId="3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4716-1C30-4C06-943A-D440E4CFE91E}">
  <sheetPr>
    <tabColor theme="1"/>
  </sheetPr>
  <dimension ref="A1:D55"/>
  <sheetViews>
    <sheetView topLeftCell="A5" zoomScale="70" zoomScaleNormal="70" workbookViewId="0">
      <selection sqref="A1:D55"/>
    </sheetView>
  </sheetViews>
  <sheetFormatPr baseColWidth="10" defaultRowHeight="15" x14ac:dyDescent="0.25"/>
  <cols>
    <col min="4" max="4" width="30.5703125" bestFit="1" customWidth="1"/>
  </cols>
  <sheetData>
    <row r="1" spans="1:4" ht="15.75" thickBot="1" x14ac:dyDescent="0.3">
      <c r="A1" s="24" t="s">
        <v>7</v>
      </c>
      <c r="B1" s="25" t="s">
        <v>8</v>
      </c>
      <c r="C1" s="25" t="s">
        <v>50</v>
      </c>
      <c r="D1" s="37" t="s">
        <v>45</v>
      </c>
    </row>
    <row r="2" spans="1:4" x14ac:dyDescent="0.25">
      <c r="A2" s="20" t="s">
        <v>1</v>
      </c>
      <c r="B2" s="22">
        <v>1</v>
      </c>
      <c r="C2" s="22">
        <v>1</v>
      </c>
      <c r="D2" s="22" t="b">
        <f>Data[[#This Row],[Número]]&gt;AVERAGE(Data[Número])</f>
        <v>0</v>
      </c>
    </row>
    <row r="3" spans="1:4" x14ac:dyDescent="0.25">
      <c r="A3" s="21" t="s">
        <v>2</v>
      </c>
      <c r="B3" s="23">
        <v>2</v>
      </c>
      <c r="C3" s="23">
        <v>2</v>
      </c>
      <c r="D3" s="23" t="b">
        <f>Data[[#This Row],[Número]]&gt;AVERAGE(Data[Número])</f>
        <v>0</v>
      </c>
    </row>
    <row r="4" spans="1:4" x14ac:dyDescent="0.25">
      <c r="A4" s="21" t="s">
        <v>3</v>
      </c>
      <c r="B4" s="23">
        <v>3</v>
      </c>
      <c r="C4" s="23">
        <v>3</v>
      </c>
      <c r="D4" s="23" t="b">
        <f>Data[[#This Row],[Número]]&gt;AVERAGE(Data[Número])</f>
        <v>0</v>
      </c>
    </row>
    <row r="5" spans="1:4" x14ac:dyDescent="0.25">
      <c r="A5" s="21" t="s">
        <v>4</v>
      </c>
      <c r="B5" s="23">
        <v>4</v>
      </c>
      <c r="C5" s="23">
        <v>4</v>
      </c>
      <c r="D5" s="23" t="b">
        <f>Data[[#This Row],[Número]]&gt;AVERAGE(Data[Número])</f>
        <v>0</v>
      </c>
    </row>
    <row r="6" spans="1:4" x14ac:dyDescent="0.25">
      <c r="A6" s="21" t="s">
        <v>5</v>
      </c>
      <c r="B6" s="23">
        <v>5</v>
      </c>
      <c r="C6" s="23">
        <v>5</v>
      </c>
      <c r="D6" s="23" t="b">
        <f>Data[[#This Row],[Número]]&gt;AVERAGE(Data[Número])</f>
        <v>0</v>
      </c>
    </row>
    <row r="7" spans="1:4" x14ac:dyDescent="0.25">
      <c r="A7" s="21" t="s">
        <v>6</v>
      </c>
      <c r="B7" s="23">
        <v>6</v>
      </c>
      <c r="C7" s="23">
        <v>6</v>
      </c>
      <c r="D7" s="23" t="b">
        <f>Data[[#This Row],[Número]]&gt;AVERAGE(Data[Número])</f>
        <v>0</v>
      </c>
    </row>
    <row r="8" spans="1:4" x14ac:dyDescent="0.25">
      <c r="A8" s="21" t="s">
        <v>13</v>
      </c>
      <c r="B8" s="23">
        <v>7</v>
      </c>
      <c r="C8" s="23">
        <v>7</v>
      </c>
      <c r="D8" s="23" t="b">
        <f>Data[[#This Row],[Número]]&gt;AVERAGE(Data[Número])</f>
        <v>0</v>
      </c>
    </row>
    <row r="9" spans="1:4" x14ac:dyDescent="0.25">
      <c r="A9" s="21" t="s">
        <v>21</v>
      </c>
      <c r="B9" s="23">
        <v>8</v>
      </c>
      <c r="C9" s="23">
        <v>8</v>
      </c>
      <c r="D9" s="23" t="b">
        <f>Data[[#This Row],[Número]]&gt;AVERAGE(Data[Número])</f>
        <v>0</v>
      </c>
    </row>
    <row r="10" spans="1:4" x14ac:dyDescent="0.25">
      <c r="A10" s="21" t="s">
        <v>22</v>
      </c>
      <c r="B10" s="23">
        <v>9</v>
      </c>
      <c r="C10" s="23">
        <v>9</v>
      </c>
      <c r="D10" s="23" t="b">
        <f>Data[[#This Row],[Número]]&gt;AVERAGE(Data[Número])</f>
        <v>0</v>
      </c>
    </row>
    <row r="11" spans="1:4" x14ac:dyDescent="0.25">
      <c r="A11" s="21" t="s">
        <v>23</v>
      </c>
      <c r="B11" s="23">
        <v>10</v>
      </c>
      <c r="C11" s="23">
        <v>10</v>
      </c>
      <c r="D11" s="23" t="b">
        <f>Data[[#This Row],[Número]]&gt;AVERAGE(Data[Número])</f>
        <v>0</v>
      </c>
    </row>
    <row r="12" spans="1:4" x14ac:dyDescent="0.25">
      <c r="A12" s="21" t="s">
        <v>24</v>
      </c>
      <c r="B12" s="23">
        <v>11</v>
      </c>
      <c r="C12" s="23">
        <v>11</v>
      </c>
      <c r="D12" s="23" t="b">
        <f>Data[[#This Row],[Número]]&gt;AVERAGE(Data[Número])</f>
        <v>0</v>
      </c>
    </row>
    <row r="13" spans="1:4" x14ac:dyDescent="0.25">
      <c r="A13" s="21" t="s">
        <v>25</v>
      </c>
      <c r="B13" s="23">
        <v>12</v>
      </c>
      <c r="C13" s="23">
        <v>12</v>
      </c>
      <c r="D13" s="23" t="b">
        <f>Data[[#This Row],[Número]]&gt;AVERAGE(Data[Número])</f>
        <v>0</v>
      </c>
    </row>
    <row r="14" spans="1:4" x14ac:dyDescent="0.25">
      <c r="A14" s="21" t="s">
        <v>26</v>
      </c>
      <c r="B14" s="23">
        <v>13</v>
      </c>
      <c r="C14" s="23">
        <v>13</v>
      </c>
      <c r="D14" s="23" t="b">
        <f>Data[[#This Row],[Número]]&gt;AVERAGE(Data[Número])</f>
        <v>0</v>
      </c>
    </row>
    <row r="15" spans="1:4" x14ac:dyDescent="0.25">
      <c r="A15" s="21" t="s">
        <v>27</v>
      </c>
      <c r="B15" s="23">
        <v>14</v>
      </c>
      <c r="C15" s="23">
        <v>14</v>
      </c>
      <c r="D15" s="23" t="b">
        <f>Data[[#This Row],[Número]]&gt;AVERAGE(Data[Número])</f>
        <v>0</v>
      </c>
    </row>
    <row r="16" spans="1:4" x14ac:dyDescent="0.25">
      <c r="A16" s="21" t="s">
        <v>28</v>
      </c>
      <c r="B16" s="23">
        <v>15</v>
      </c>
      <c r="C16" s="23">
        <v>15</v>
      </c>
      <c r="D16" s="23" t="b">
        <f>Data[[#This Row],[Número]]&gt;AVERAGE(Data[Número])</f>
        <v>1</v>
      </c>
    </row>
    <row r="17" spans="1:4" x14ac:dyDescent="0.25">
      <c r="A17" s="21" t="s">
        <v>29</v>
      </c>
      <c r="B17" s="23">
        <v>16</v>
      </c>
      <c r="C17" s="23">
        <v>16</v>
      </c>
      <c r="D17" s="23" t="b">
        <f>Data[[#This Row],[Número]]&gt;AVERAGE(Data[Número])</f>
        <v>1</v>
      </c>
    </row>
    <row r="18" spans="1:4" x14ac:dyDescent="0.25">
      <c r="A18" s="21" t="s">
        <v>30</v>
      </c>
      <c r="B18" s="23">
        <v>17</v>
      </c>
      <c r="C18" s="23">
        <v>17</v>
      </c>
      <c r="D18" s="23" t="b">
        <f>Data[[#This Row],[Número]]&gt;AVERAGE(Data[Número])</f>
        <v>1</v>
      </c>
    </row>
    <row r="19" spans="1:4" x14ac:dyDescent="0.25">
      <c r="A19" s="21" t="s">
        <v>31</v>
      </c>
      <c r="B19" s="23">
        <v>18</v>
      </c>
      <c r="C19" s="23">
        <v>18</v>
      </c>
      <c r="D19" s="23" t="b">
        <f>Data[[#This Row],[Número]]&gt;AVERAGE(Data[Número])</f>
        <v>1</v>
      </c>
    </row>
    <row r="20" spans="1:4" x14ac:dyDescent="0.25">
      <c r="A20" s="21" t="s">
        <v>32</v>
      </c>
      <c r="B20" s="23">
        <v>19</v>
      </c>
      <c r="C20" s="23">
        <v>19</v>
      </c>
      <c r="D20" s="23" t="b">
        <f>Data[[#This Row],[Número]]&gt;AVERAGE(Data[Número])</f>
        <v>1</v>
      </c>
    </row>
    <row r="21" spans="1:4" x14ac:dyDescent="0.25">
      <c r="A21" s="21" t="s">
        <v>33</v>
      </c>
      <c r="B21" s="23">
        <v>20</v>
      </c>
      <c r="C21" s="23">
        <v>20</v>
      </c>
      <c r="D21" s="23" t="b">
        <f>Data[[#This Row],[Número]]&gt;AVERAGE(Data[Número])</f>
        <v>1</v>
      </c>
    </row>
    <row r="22" spans="1:4" x14ac:dyDescent="0.25">
      <c r="A22" s="21" t="s">
        <v>34</v>
      </c>
      <c r="B22" s="23">
        <v>21</v>
      </c>
      <c r="C22" s="23">
        <v>21</v>
      </c>
      <c r="D22" s="23" t="b">
        <f>Data[[#This Row],[Número]]&gt;AVERAGE(Data[Número])</f>
        <v>1</v>
      </c>
    </row>
    <row r="23" spans="1:4" x14ac:dyDescent="0.25">
      <c r="A23" s="21" t="s">
        <v>36</v>
      </c>
      <c r="B23" s="23">
        <v>22</v>
      </c>
      <c r="C23" s="23">
        <v>22</v>
      </c>
      <c r="D23" s="23" t="b">
        <f>Data[[#This Row],[Número]]&gt;AVERAGE(Data[Número])</f>
        <v>1</v>
      </c>
    </row>
    <row r="24" spans="1:4" x14ac:dyDescent="0.25">
      <c r="A24" s="21" t="s">
        <v>37</v>
      </c>
      <c r="B24" s="23">
        <v>23</v>
      </c>
      <c r="C24" s="23">
        <v>23</v>
      </c>
      <c r="D24" s="23" t="b">
        <f>Data[[#This Row],[Número]]&gt;AVERAGE(Data[Número])</f>
        <v>1</v>
      </c>
    </row>
    <row r="25" spans="1:4" x14ac:dyDescent="0.25">
      <c r="A25" s="21" t="s">
        <v>38</v>
      </c>
      <c r="B25" s="23">
        <v>24</v>
      </c>
      <c r="C25" s="23">
        <v>24</v>
      </c>
      <c r="D25" s="23" t="b">
        <f>Data[[#This Row],[Número]]&gt;AVERAGE(Data[Número])</f>
        <v>1</v>
      </c>
    </row>
    <row r="26" spans="1:4" x14ac:dyDescent="0.25">
      <c r="A26" s="21" t="s">
        <v>39</v>
      </c>
      <c r="B26" s="23">
        <v>25</v>
      </c>
      <c r="C26" s="23">
        <v>25</v>
      </c>
      <c r="D26" s="23" t="b">
        <f>Data[[#This Row],[Número]]&gt;AVERAGE(Data[Número])</f>
        <v>1</v>
      </c>
    </row>
    <row r="27" spans="1:4" x14ac:dyDescent="0.25">
      <c r="A27" s="21" t="s">
        <v>35</v>
      </c>
      <c r="B27" s="23">
        <v>26</v>
      </c>
      <c r="C27" s="23">
        <v>26</v>
      </c>
      <c r="D27" s="23" t="b">
        <f>Data[[#This Row],[Número]]&gt;AVERAGE(Data[Número])</f>
        <v>1</v>
      </c>
    </row>
    <row r="28" spans="1:4" x14ac:dyDescent="0.25">
      <c r="A28" s="21" t="s">
        <v>40</v>
      </c>
      <c r="B28" s="23">
        <v>27</v>
      </c>
      <c r="C28" s="23">
        <v>27</v>
      </c>
      <c r="D28" s="23" t="b">
        <f>Data[[#This Row],[Número]]&gt;AVERAGE(Data[Número])</f>
        <v>1</v>
      </c>
    </row>
    <row r="29" spans="1:4" x14ac:dyDescent="0.25">
      <c r="A29" s="21" t="s">
        <v>1</v>
      </c>
      <c r="B29" s="23">
        <v>1</v>
      </c>
      <c r="C29" s="23">
        <v>28</v>
      </c>
      <c r="D29" s="51" t="b">
        <f>Data[[#This Row],[Número]]&gt;AVERAGE(Data[Número])</f>
        <v>0</v>
      </c>
    </row>
    <row r="30" spans="1:4" x14ac:dyDescent="0.25">
      <c r="A30" s="21" t="s">
        <v>2</v>
      </c>
      <c r="B30" s="23">
        <v>2</v>
      </c>
      <c r="C30" s="23">
        <v>29</v>
      </c>
      <c r="D30" s="51" t="b">
        <f>Data[[#This Row],[Número]]&gt;AVERAGE(Data[Número])</f>
        <v>0</v>
      </c>
    </row>
    <row r="31" spans="1:4" x14ac:dyDescent="0.25">
      <c r="A31" s="21" t="s">
        <v>3</v>
      </c>
      <c r="B31" s="23">
        <v>3</v>
      </c>
      <c r="C31" s="23">
        <v>30</v>
      </c>
      <c r="D31" s="51" t="b">
        <f>Data[[#This Row],[Número]]&gt;AVERAGE(Data[Número])</f>
        <v>0</v>
      </c>
    </row>
    <row r="32" spans="1:4" x14ac:dyDescent="0.25">
      <c r="A32" s="21" t="s">
        <v>4</v>
      </c>
      <c r="B32" s="23">
        <v>4</v>
      </c>
      <c r="C32" s="23">
        <v>31</v>
      </c>
      <c r="D32" s="51" t="b">
        <f>Data[[#This Row],[Número]]&gt;AVERAGE(Data[Número])</f>
        <v>0</v>
      </c>
    </row>
    <row r="33" spans="1:4" x14ac:dyDescent="0.25">
      <c r="A33" s="21" t="s">
        <v>5</v>
      </c>
      <c r="B33" s="23">
        <v>5</v>
      </c>
      <c r="C33" s="23">
        <v>32</v>
      </c>
      <c r="D33" s="51" t="b">
        <f>Data[[#This Row],[Número]]&gt;AVERAGE(Data[Número])</f>
        <v>0</v>
      </c>
    </row>
    <row r="34" spans="1:4" x14ac:dyDescent="0.25">
      <c r="A34" s="21" t="s">
        <v>6</v>
      </c>
      <c r="B34" s="23">
        <v>6</v>
      </c>
      <c r="C34" s="23">
        <v>33</v>
      </c>
      <c r="D34" s="51" t="b">
        <f>Data[[#This Row],[Número]]&gt;AVERAGE(Data[Número])</f>
        <v>0</v>
      </c>
    </row>
    <row r="35" spans="1:4" x14ac:dyDescent="0.25">
      <c r="A35" s="21" t="s">
        <v>13</v>
      </c>
      <c r="B35" s="23">
        <v>7</v>
      </c>
      <c r="C35" s="23">
        <v>34</v>
      </c>
      <c r="D35" s="51" t="b">
        <f>Data[[#This Row],[Número]]&gt;AVERAGE(Data[Número])</f>
        <v>0</v>
      </c>
    </row>
    <row r="36" spans="1:4" x14ac:dyDescent="0.25">
      <c r="A36" s="21" t="s">
        <v>21</v>
      </c>
      <c r="B36" s="23">
        <v>8</v>
      </c>
      <c r="C36" s="23">
        <v>35</v>
      </c>
      <c r="D36" s="51" t="b">
        <f>Data[[#This Row],[Número]]&gt;AVERAGE(Data[Número])</f>
        <v>0</v>
      </c>
    </row>
    <row r="37" spans="1:4" x14ac:dyDescent="0.25">
      <c r="A37" s="21" t="s">
        <v>22</v>
      </c>
      <c r="B37" s="23">
        <v>9</v>
      </c>
      <c r="C37" s="23">
        <v>36</v>
      </c>
      <c r="D37" s="51" t="b">
        <f>Data[[#This Row],[Número]]&gt;AVERAGE(Data[Número])</f>
        <v>0</v>
      </c>
    </row>
    <row r="38" spans="1:4" x14ac:dyDescent="0.25">
      <c r="A38" s="21" t="s">
        <v>23</v>
      </c>
      <c r="B38" s="23">
        <v>10</v>
      </c>
      <c r="C38" s="23">
        <v>37</v>
      </c>
      <c r="D38" s="51" t="b">
        <f>Data[[#This Row],[Número]]&gt;AVERAGE(Data[Número])</f>
        <v>0</v>
      </c>
    </row>
    <row r="39" spans="1:4" x14ac:dyDescent="0.25">
      <c r="A39" s="21" t="s">
        <v>24</v>
      </c>
      <c r="B39" s="23">
        <v>11</v>
      </c>
      <c r="C39" s="23">
        <v>38</v>
      </c>
      <c r="D39" s="51" t="b">
        <f>Data[[#This Row],[Número]]&gt;AVERAGE(Data[Número])</f>
        <v>0</v>
      </c>
    </row>
    <row r="40" spans="1:4" x14ac:dyDescent="0.25">
      <c r="A40" s="21" t="s">
        <v>25</v>
      </c>
      <c r="B40" s="23">
        <v>12</v>
      </c>
      <c r="C40" s="23">
        <v>39</v>
      </c>
      <c r="D40" s="51" t="b">
        <f>Data[[#This Row],[Número]]&gt;AVERAGE(Data[Número])</f>
        <v>0</v>
      </c>
    </row>
    <row r="41" spans="1:4" x14ac:dyDescent="0.25">
      <c r="A41" s="21" t="s">
        <v>26</v>
      </c>
      <c r="B41" s="23">
        <v>13</v>
      </c>
      <c r="C41" s="23">
        <v>40</v>
      </c>
      <c r="D41" s="51" t="b">
        <f>Data[[#This Row],[Número]]&gt;AVERAGE(Data[Número])</f>
        <v>0</v>
      </c>
    </row>
    <row r="42" spans="1:4" x14ac:dyDescent="0.25">
      <c r="A42" s="21" t="s">
        <v>27</v>
      </c>
      <c r="B42" s="23">
        <v>14</v>
      </c>
      <c r="C42" s="23">
        <v>41</v>
      </c>
      <c r="D42" s="51" t="b">
        <f>Data[[#This Row],[Número]]&gt;AVERAGE(Data[Número])</f>
        <v>0</v>
      </c>
    </row>
    <row r="43" spans="1:4" x14ac:dyDescent="0.25">
      <c r="A43" s="21" t="s">
        <v>28</v>
      </c>
      <c r="B43" s="23">
        <v>15</v>
      </c>
      <c r="C43" s="23">
        <v>42</v>
      </c>
      <c r="D43" s="51" t="b">
        <f>Data[[#This Row],[Número]]&gt;AVERAGE(Data[Número])</f>
        <v>1</v>
      </c>
    </row>
    <row r="44" spans="1:4" x14ac:dyDescent="0.25">
      <c r="A44" s="21" t="s">
        <v>29</v>
      </c>
      <c r="B44" s="23">
        <v>16</v>
      </c>
      <c r="C44" s="23">
        <v>43</v>
      </c>
      <c r="D44" s="51" t="b">
        <f>Data[[#This Row],[Número]]&gt;AVERAGE(Data[Número])</f>
        <v>1</v>
      </c>
    </row>
    <row r="45" spans="1:4" x14ac:dyDescent="0.25">
      <c r="A45" s="21" t="s">
        <v>30</v>
      </c>
      <c r="B45" s="23">
        <v>17</v>
      </c>
      <c r="C45" s="23">
        <v>44</v>
      </c>
      <c r="D45" s="51" t="b">
        <f>Data[[#This Row],[Número]]&gt;AVERAGE(Data[Número])</f>
        <v>1</v>
      </c>
    </row>
    <row r="46" spans="1:4" x14ac:dyDescent="0.25">
      <c r="A46" s="21" t="s">
        <v>31</v>
      </c>
      <c r="B46" s="23">
        <v>18</v>
      </c>
      <c r="C46" s="23">
        <v>45</v>
      </c>
      <c r="D46" s="51" t="b">
        <f>Data[[#This Row],[Número]]&gt;AVERAGE(Data[Número])</f>
        <v>1</v>
      </c>
    </row>
    <row r="47" spans="1:4" x14ac:dyDescent="0.25">
      <c r="A47" s="21" t="s">
        <v>32</v>
      </c>
      <c r="B47" s="23">
        <v>19</v>
      </c>
      <c r="C47" s="23">
        <v>46</v>
      </c>
      <c r="D47" s="51" t="b">
        <f>Data[[#This Row],[Número]]&gt;AVERAGE(Data[Número])</f>
        <v>1</v>
      </c>
    </row>
    <row r="48" spans="1:4" x14ac:dyDescent="0.25">
      <c r="A48" s="21" t="s">
        <v>33</v>
      </c>
      <c r="B48" s="23">
        <v>20</v>
      </c>
      <c r="C48" s="23">
        <v>47</v>
      </c>
      <c r="D48" s="51" t="b">
        <f>Data[[#This Row],[Número]]&gt;AVERAGE(Data[Número])</f>
        <v>1</v>
      </c>
    </row>
    <row r="49" spans="1:4" x14ac:dyDescent="0.25">
      <c r="A49" s="21" t="s">
        <v>34</v>
      </c>
      <c r="B49" s="23">
        <v>21</v>
      </c>
      <c r="C49" s="23">
        <v>48</v>
      </c>
      <c r="D49" s="51" t="b">
        <f>Data[[#This Row],[Número]]&gt;AVERAGE(Data[Número])</f>
        <v>1</v>
      </c>
    </row>
    <row r="50" spans="1:4" x14ac:dyDescent="0.25">
      <c r="A50" s="21" t="s">
        <v>36</v>
      </c>
      <c r="B50" s="23">
        <v>22</v>
      </c>
      <c r="C50" s="23">
        <v>49</v>
      </c>
      <c r="D50" s="51" t="b">
        <f>Data[[#This Row],[Número]]&gt;AVERAGE(Data[Número])</f>
        <v>1</v>
      </c>
    </row>
    <row r="51" spans="1:4" x14ac:dyDescent="0.25">
      <c r="A51" s="21" t="s">
        <v>37</v>
      </c>
      <c r="B51" s="23">
        <v>23</v>
      </c>
      <c r="C51" s="23">
        <v>50</v>
      </c>
      <c r="D51" s="51" t="b">
        <f>Data[[#This Row],[Número]]&gt;AVERAGE(Data[Número])</f>
        <v>1</v>
      </c>
    </row>
    <row r="52" spans="1:4" x14ac:dyDescent="0.25">
      <c r="A52" s="21" t="s">
        <v>38</v>
      </c>
      <c r="B52" s="23">
        <v>24</v>
      </c>
      <c r="C52" s="23">
        <v>51</v>
      </c>
      <c r="D52" s="51" t="b">
        <f>Data[[#This Row],[Número]]&gt;AVERAGE(Data[Número])</f>
        <v>1</v>
      </c>
    </row>
    <row r="53" spans="1:4" x14ac:dyDescent="0.25">
      <c r="A53" s="21" t="s">
        <v>39</v>
      </c>
      <c r="B53" s="23">
        <v>25</v>
      </c>
      <c r="C53" s="23">
        <v>52</v>
      </c>
      <c r="D53" s="51" t="b">
        <f>Data[[#This Row],[Número]]&gt;AVERAGE(Data[Número])</f>
        <v>1</v>
      </c>
    </row>
    <row r="54" spans="1:4" x14ac:dyDescent="0.25">
      <c r="A54" s="21" t="s">
        <v>35</v>
      </c>
      <c r="B54" s="23">
        <v>26</v>
      </c>
      <c r="C54" s="23">
        <v>53</v>
      </c>
      <c r="D54" s="51" t="b">
        <f>Data[[#This Row],[Número]]&gt;AVERAGE(Data[Número])</f>
        <v>1</v>
      </c>
    </row>
    <row r="55" spans="1:4" x14ac:dyDescent="0.25">
      <c r="A55" s="21" t="s">
        <v>40</v>
      </c>
      <c r="B55" s="23">
        <v>27</v>
      </c>
      <c r="C55" s="23">
        <v>54</v>
      </c>
      <c r="D55" s="51" t="b">
        <f>Data[[#This Row],[Número]]&gt;AVERAGE(Data[Número])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607E-F5AB-4E4F-A2DF-EC0E6DC9DE16}">
  <sheetPr>
    <tabColor rgb="FF3C7D22"/>
  </sheetPr>
  <dimension ref="A1:G7"/>
  <sheetViews>
    <sheetView zoomScale="85" zoomScaleNormal="85" workbookViewId="0">
      <selection activeCell="C19" sqref="C19"/>
    </sheetView>
  </sheetViews>
  <sheetFormatPr baseColWidth="10" defaultRowHeight="15" x14ac:dyDescent="0.25"/>
  <cols>
    <col min="1" max="16384" width="11.42578125" style="3"/>
  </cols>
  <sheetData>
    <row r="1" spans="1:7" ht="15.75" thickBot="1" x14ac:dyDescent="0.3">
      <c r="A1" s="24" t="s">
        <v>7</v>
      </c>
      <c r="B1" s="25" t="s">
        <v>8</v>
      </c>
      <c r="D1" s="19" t="s">
        <v>9</v>
      </c>
      <c r="E1" s="19" t="s">
        <v>10</v>
      </c>
      <c r="F1" s="19" t="s">
        <v>11</v>
      </c>
      <c r="G1" s="19" t="s">
        <v>12</v>
      </c>
    </row>
    <row r="2" spans="1:7" ht="15.75" thickBot="1" x14ac:dyDescent="0.3">
      <c r="A2" s="20" t="s">
        <v>1</v>
      </c>
      <c r="B2" s="22">
        <v>1</v>
      </c>
      <c r="D2" s="27">
        <f>SUM(Tabla2[Número])</f>
        <v>21</v>
      </c>
      <c r="E2" s="27">
        <f>COUNT(Tabla2[Número])</f>
        <v>6</v>
      </c>
      <c r="F2" s="27">
        <f>AVERAGE(Tabla2[Número])</f>
        <v>3.5</v>
      </c>
      <c r="G2" s="27">
        <f>_xlfn.VAR.P(Tabla2[Número])</f>
        <v>2.9166666666666665</v>
      </c>
    </row>
    <row r="3" spans="1:7" x14ac:dyDescent="0.25">
      <c r="A3" s="21" t="s">
        <v>2</v>
      </c>
      <c r="B3" s="23">
        <v>2</v>
      </c>
      <c r="D3" s="28" t="str">
        <f ca="1">_xlfn.FORMULATEXT(D$2)</f>
        <v>=SUMA(Tabla2[Número])</v>
      </c>
      <c r="E3" s="29"/>
      <c r="F3" s="29"/>
      <c r="G3" s="30"/>
    </row>
    <row r="4" spans="1:7" x14ac:dyDescent="0.25">
      <c r="A4" s="21" t="s">
        <v>3</v>
      </c>
      <c r="B4" s="23">
        <v>3</v>
      </c>
      <c r="D4" s="31" t="str">
        <f ca="1">_xlfn.FORMULATEXT(E$2)</f>
        <v>=CONTAR(Tabla2[Número])</v>
      </c>
      <c r="E4" s="32"/>
      <c r="F4" s="32"/>
      <c r="G4" s="33"/>
    </row>
    <row r="5" spans="1:7" x14ac:dyDescent="0.25">
      <c r="A5" s="21" t="s">
        <v>4</v>
      </c>
      <c r="B5" s="23">
        <v>4</v>
      </c>
      <c r="D5" s="31" t="str">
        <f ca="1">_xlfn.FORMULATEXT(F$2)</f>
        <v>=PROMEDIO(Tabla2[Número])</v>
      </c>
      <c r="E5" s="32"/>
      <c r="F5" s="32"/>
      <c r="G5" s="33"/>
    </row>
    <row r="6" spans="1:7" ht="15.75" thickBot="1" x14ac:dyDescent="0.3">
      <c r="A6" s="21" t="s">
        <v>5</v>
      </c>
      <c r="B6" s="23">
        <v>5</v>
      </c>
      <c r="D6" s="34" t="str">
        <f ca="1">_xlfn.FORMULATEXT(G$2)</f>
        <v>=VAR.P(Tabla2[Número])</v>
      </c>
      <c r="E6" s="35"/>
      <c r="F6" s="35"/>
      <c r="G6" s="36"/>
    </row>
    <row r="7" spans="1:7" x14ac:dyDescent="0.25">
      <c r="A7" s="21" t="s">
        <v>6</v>
      </c>
      <c r="B7" s="23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CC5E-3F70-4ADF-9C52-FAD38F0B1250}">
  <sheetPr>
    <tabColor theme="8"/>
  </sheetPr>
  <dimension ref="A1:J26"/>
  <sheetViews>
    <sheetView zoomScale="115" zoomScaleNormal="115" workbookViewId="0">
      <selection activeCell="A24" sqref="A24"/>
    </sheetView>
  </sheetViews>
  <sheetFormatPr baseColWidth="10" defaultRowHeight="15" x14ac:dyDescent="0.25"/>
  <cols>
    <col min="1" max="7" width="11.42578125" style="3"/>
    <col min="8" max="8" width="20.140625" style="3" bestFit="1" customWidth="1"/>
    <col min="9" max="16384" width="11.42578125" style="3"/>
  </cols>
  <sheetData>
    <row r="1" spans="1:10" x14ac:dyDescent="0.25">
      <c r="A1" s="7" t="s">
        <v>0</v>
      </c>
      <c r="B1" s="8"/>
      <c r="C1" s="7" t="s">
        <v>14</v>
      </c>
      <c r="D1" s="13"/>
      <c r="E1" s="13"/>
      <c r="F1" s="8"/>
      <c r="H1" s="4" t="str" cm="1">
        <f t="array" ref="H1:H5">_xlfn.TAKE(_xlfn.UNIQUE(Data[Letras]),5)</f>
        <v>A</v>
      </c>
      <c r="I1" s="4" cm="1">
        <f t="array" ref="I1:I5">_xlfn.XLOOKUP(_xlfn.ANCHORARRAY(H1),Data[Letras],Data[Número])</f>
        <v>1</v>
      </c>
    </row>
    <row r="2" spans="1:10" x14ac:dyDescent="0.25">
      <c r="A2" s="9"/>
      <c r="B2" s="10"/>
      <c r="C2" s="9"/>
      <c r="D2" s="14"/>
      <c r="E2" s="14"/>
      <c r="F2" s="10"/>
      <c r="H2" s="5" t="str">
        <v>B</v>
      </c>
      <c r="I2" s="5">
        <v>2</v>
      </c>
    </row>
    <row r="3" spans="1:10" x14ac:dyDescent="0.25">
      <c r="A3" s="9"/>
      <c r="B3" s="10"/>
      <c r="C3" s="9"/>
      <c r="D3" s="14"/>
      <c r="E3" s="14"/>
      <c r="F3" s="10"/>
      <c r="H3" s="5" t="str">
        <v>C</v>
      </c>
      <c r="I3" s="5">
        <v>3</v>
      </c>
    </row>
    <row r="4" spans="1:10" x14ac:dyDescent="0.25">
      <c r="A4" s="9"/>
      <c r="B4" s="10"/>
      <c r="C4" s="9"/>
      <c r="D4" s="14"/>
      <c r="E4" s="14"/>
      <c r="F4" s="10"/>
      <c r="H4" s="5" t="str">
        <v>D</v>
      </c>
      <c r="I4" s="5">
        <v>4</v>
      </c>
    </row>
    <row r="5" spans="1:10" ht="15.75" thickBot="1" x14ac:dyDescent="0.3">
      <c r="A5" s="11"/>
      <c r="B5" s="12"/>
      <c r="C5" s="11"/>
      <c r="D5" s="15"/>
      <c r="E5" s="15"/>
      <c r="F5" s="12"/>
      <c r="H5" s="6" t="str">
        <v>E</v>
      </c>
      <c r="I5" s="6">
        <v>5</v>
      </c>
    </row>
    <row r="6" spans="1:10" ht="15.75" thickBot="1" x14ac:dyDescent="0.3">
      <c r="C6" s="16" t="str">
        <f ca="1">_xlfn.FORMULATEXT(H1)</f>
        <v>=TOMAR(UNICOS(Data[Letras]);5)</v>
      </c>
      <c r="D6" s="17"/>
      <c r="E6" s="17"/>
      <c r="F6" s="18"/>
    </row>
    <row r="7" spans="1:10" ht="15.75" thickBot="1" x14ac:dyDescent="0.3">
      <c r="C7" s="16" t="str">
        <f ca="1">_xlfn.FORMULATEXT(I1)</f>
        <v>=BUSCARX(H1#;Data[Letras];Data[Número])</v>
      </c>
      <c r="D7" s="17"/>
      <c r="E7" s="17"/>
      <c r="F7" s="18"/>
    </row>
    <row r="9" spans="1:10" s="45" customFormat="1" ht="8.25" customHeight="1" x14ac:dyDescent="0.25"/>
    <row r="10" spans="1:10" ht="15.75" thickBot="1" x14ac:dyDescent="0.3"/>
    <row r="11" spans="1:10" ht="15.75" thickBot="1" x14ac:dyDescent="0.3">
      <c r="A11" s="7" t="s">
        <v>17</v>
      </c>
      <c r="B11" s="8"/>
      <c r="C11" s="7" t="s">
        <v>18</v>
      </c>
      <c r="D11" s="13"/>
      <c r="E11" s="13"/>
      <c r="F11" s="8"/>
      <c r="I11" s="27" t="s">
        <v>20</v>
      </c>
      <c r="J11" s="27" t="s">
        <v>19</v>
      </c>
    </row>
    <row r="12" spans="1:10" ht="15.75" thickBot="1" x14ac:dyDescent="0.3">
      <c r="A12" s="9"/>
      <c r="B12" s="10"/>
      <c r="C12" s="9"/>
      <c r="D12" s="14"/>
      <c r="E12" s="14"/>
      <c r="F12" s="10"/>
      <c r="H12" s="38" t="s">
        <v>15</v>
      </c>
      <c r="I12" s="40">
        <v>2</v>
      </c>
      <c r="J12" s="41">
        <f>COLUMNS(Data[])</f>
        <v>4</v>
      </c>
    </row>
    <row r="13" spans="1:10" ht="15.75" thickBot="1" x14ac:dyDescent="0.3">
      <c r="A13" s="9"/>
      <c r="B13" s="10"/>
      <c r="C13" s="9"/>
      <c r="D13" s="14"/>
      <c r="E13" s="14"/>
      <c r="F13" s="10"/>
      <c r="H13" s="38" t="s">
        <v>16</v>
      </c>
      <c r="I13" s="40">
        <v>25</v>
      </c>
      <c r="J13" s="41">
        <f>ROWS(Data[])</f>
        <v>54</v>
      </c>
    </row>
    <row r="14" spans="1:10" x14ac:dyDescent="0.25">
      <c r="A14" s="9"/>
      <c r="B14" s="10"/>
      <c r="C14" s="9"/>
      <c r="D14" s="14"/>
      <c r="E14" s="14"/>
      <c r="F14" s="10"/>
    </row>
    <row r="15" spans="1:10" ht="15.75" thickBot="1" x14ac:dyDescent="0.3">
      <c r="A15" s="11"/>
      <c r="B15" s="12"/>
      <c r="C15" s="11"/>
      <c r="D15" s="15"/>
      <c r="E15" s="15"/>
      <c r="F15" s="12"/>
    </row>
    <row r="16" spans="1:10" ht="15.75" thickBot="1" x14ac:dyDescent="0.3">
      <c r="C16" s="42" t="str">
        <f ca="1">_xlfn.FORMULATEXT(J12)</f>
        <v>=COLUMNAS(Data)</v>
      </c>
      <c r="D16" s="43"/>
      <c r="E16" s="43"/>
      <c r="F16" s="44"/>
      <c r="H16" s="38" t="s">
        <v>17</v>
      </c>
      <c r="I16" s="39" cm="1">
        <f t="array" ref="I16">INDEX(Data[],I13,I12)</f>
        <v>25</v>
      </c>
    </row>
    <row r="17" spans="1:6" ht="15.75" thickBot="1" x14ac:dyDescent="0.3">
      <c r="C17" s="42" t="str">
        <f ca="1">_xlfn.FORMULATEXT(J13)</f>
        <v>=FILAS(Data)</v>
      </c>
      <c r="D17" s="43"/>
      <c r="E17" s="43"/>
      <c r="F17" s="44"/>
    </row>
    <row r="18" spans="1:6" ht="15.75" thickBot="1" x14ac:dyDescent="0.3">
      <c r="C18" s="42" t="str">
        <f ca="1">_xlfn.FORMULATEXT(I16)</f>
        <v>=INDICE(Data;I13;I12)</v>
      </c>
      <c r="D18" s="43"/>
      <c r="E18" s="43"/>
      <c r="F18" s="44"/>
    </row>
    <row r="20" spans="1:6" s="45" customFormat="1" ht="8.25" customHeight="1" x14ac:dyDescent="0.25"/>
    <row r="22" spans="1:6" ht="15" customHeight="1" x14ac:dyDescent="0.25">
      <c r="A22" s="3" t="s">
        <v>52</v>
      </c>
    </row>
    <row r="23" spans="1:6" ht="15" customHeight="1" x14ac:dyDescent="0.25">
      <c r="A23" s="3" t="s">
        <v>53</v>
      </c>
    </row>
    <row r="24" spans="1:6" ht="15" customHeight="1" x14ac:dyDescent="0.25"/>
    <row r="25" spans="1:6" ht="15" customHeight="1" x14ac:dyDescent="0.25"/>
    <row r="26" spans="1:6" ht="15.75" customHeight="1" x14ac:dyDescent="0.25"/>
  </sheetData>
  <mergeCells count="6">
    <mergeCell ref="A1:B5"/>
    <mergeCell ref="C1:F5"/>
    <mergeCell ref="C6:F6"/>
    <mergeCell ref="C7:F7"/>
    <mergeCell ref="A11:B15"/>
    <mergeCell ref="C11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5FF4-F758-44B1-BB5F-02E213FB1BF5}">
  <sheetPr>
    <tabColor rgb="FF0070C0"/>
  </sheetPr>
  <dimension ref="A1:CJ217"/>
  <sheetViews>
    <sheetView topLeftCell="BM1" zoomScale="55" zoomScaleNormal="55" workbookViewId="0">
      <selection activeCell="BR13" sqref="BR13:BU13"/>
    </sheetView>
  </sheetViews>
  <sheetFormatPr baseColWidth="10" defaultRowHeight="15" x14ac:dyDescent="0.25"/>
  <cols>
    <col min="8" max="8" width="12.7109375" style="1" bestFit="1" customWidth="1"/>
    <col min="9" max="11" width="11.42578125" style="1"/>
    <col min="12" max="12" width="18.28515625" style="1" bestFit="1" customWidth="1"/>
    <col min="13" max="13" width="4.140625" style="45" customWidth="1"/>
    <col min="14" max="15" width="14" customWidth="1"/>
    <col min="21" max="23" width="12.7109375" style="1" bestFit="1" customWidth="1"/>
    <col min="24" max="24" width="20.42578125" style="1" bestFit="1" customWidth="1"/>
    <col min="25" max="25" width="4.140625" style="45" customWidth="1"/>
    <col min="33" max="33" width="14" style="1" bestFit="1" customWidth="1"/>
    <col min="34" max="37" width="12.7109375" style="1" bestFit="1" customWidth="1"/>
    <col min="38" max="38" width="25.85546875" style="1" bestFit="1" customWidth="1"/>
    <col min="39" max="39" width="4.140625" style="45" customWidth="1"/>
    <col min="49" max="49" width="20.42578125" style="1" bestFit="1" customWidth="1"/>
    <col min="50" max="50" width="4.140625" style="45" customWidth="1"/>
    <col min="58" max="58" width="13" bestFit="1" customWidth="1"/>
    <col min="60" max="66" width="21" style="1" customWidth="1"/>
    <col min="67" max="67" width="4.140625" style="45" customWidth="1"/>
    <col min="70" max="73" width="13.28515625" customWidth="1"/>
    <col min="74" max="74" width="5.7109375" customWidth="1"/>
    <col min="75" max="75" width="11.85546875" style="1" customWidth="1"/>
    <col min="76" max="76" width="5.7109375" customWidth="1"/>
    <col min="77" max="79" width="11.85546875" style="1" customWidth="1"/>
    <col min="80" max="80" width="5.7109375" customWidth="1"/>
    <col min="81" max="81" width="11.85546875" style="1" customWidth="1"/>
    <col min="82" max="82" width="5.7109375" customWidth="1"/>
    <col min="83" max="83" width="11.85546875" style="1" customWidth="1"/>
    <col min="84" max="84" width="5.7109375" customWidth="1"/>
    <col min="85" max="88" width="11.85546875" customWidth="1"/>
  </cols>
  <sheetData>
    <row r="1" spans="1:88" ht="15.75" customHeight="1" thickBot="1" x14ac:dyDescent="0.3">
      <c r="A1" s="7" t="s">
        <v>41</v>
      </c>
      <c r="B1" s="8"/>
      <c r="C1" s="7" t="s">
        <v>14</v>
      </c>
      <c r="D1" s="13"/>
      <c r="E1" s="13"/>
      <c r="F1" s="8"/>
      <c r="H1" s="46" t="s">
        <v>43</v>
      </c>
      <c r="I1" s="47" t="s">
        <v>42</v>
      </c>
      <c r="J1" s="48" t="s">
        <v>8</v>
      </c>
      <c r="K1" s="48" t="s">
        <v>50</v>
      </c>
      <c r="L1" s="48" t="s">
        <v>46</v>
      </c>
      <c r="N1" s="7" t="s">
        <v>47</v>
      </c>
      <c r="O1" s="8"/>
      <c r="P1" s="7" t="s">
        <v>44</v>
      </c>
      <c r="Q1" s="13"/>
      <c r="R1" s="13"/>
      <c r="S1" s="8"/>
      <c r="U1" s="47" t="s">
        <v>42</v>
      </c>
      <c r="V1" s="48" t="s">
        <v>8</v>
      </c>
      <c r="W1" s="48" t="s">
        <v>50</v>
      </c>
      <c r="X1" s="48" t="s">
        <v>46</v>
      </c>
      <c r="Z1" s="7" t="s">
        <v>48</v>
      </c>
      <c r="AA1" s="8"/>
      <c r="AB1" s="7" t="s">
        <v>49</v>
      </c>
      <c r="AC1" s="13"/>
      <c r="AD1" s="13"/>
      <c r="AE1" s="8"/>
      <c r="AG1" s="1" t="b" cm="1">
        <f t="array" ref="AG1:AG2">_xlfn.UNIQUE(Data[Mayor Que la Media])</f>
        <v>0</v>
      </c>
      <c r="AI1" s="46" t="s">
        <v>42</v>
      </c>
      <c r="AJ1" s="48" t="s">
        <v>8</v>
      </c>
      <c r="AK1" s="52"/>
      <c r="AL1" s="52" t="s">
        <v>51</v>
      </c>
      <c r="AN1" s="7" t="s">
        <v>54</v>
      </c>
      <c r="AO1" s="8"/>
      <c r="AP1" s="7" t="s">
        <v>59</v>
      </c>
      <c r="AQ1" s="13"/>
      <c r="AR1" s="13"/>
      <c r="AS1" s="8"/>
      <c r="AU1" s="54" t="s">
        <v>55</v>
      </c>
      <c r="AW1" s="27" t="s">
        <v>54</v>
      </c>
      <c r="AY1" s="7" t="s">
        <v>60</v>
      </c>
      <c r="AZ1" s="8"/>
      <c r="BA1" s="7" t="s">
        <v>61</v>
      </c>
      <c r="BB1" s="13"/>
      <c r="BC1" s="13"/>
      <c r="BD1" s="8"/>
      <c r="BF1" s="54" t="s">
        <v>55</v>
      </c>
      <c r="BH1" s="26" t="str" cm="1">
        <f t="array" ref="BH1">_xlfn.TAKE(Data[#Headers],,BF4)</f>
        <v>Letras</v>
      </c>
      <c r="BI1" s="55"/>
      <c r="BJ1" s="55"/>
      <c r="BK1" s="55"/>
      <c r="BL1" s="26" t="str" cm="1">
        <f t="array" ref="BL1:BN1">_xlfn.DROP(Data[#Headers],,BF4)</f>
        <v>Número</v>
      </c>
      <c r="BM1" s="26" t="str">
        <v>Acum</v>
      </c>
      <c r="BN1" s="26" t="str">
        <v>Mayor Que la Media</v>
      </c>
      <c r="BP1" s="7" t="s">
        <v>63</v>
      </c>
      <c r="BQ1" s="8"/>
      <c r="BR1" s="7" t="s">
        <v>62</v>
      </c>
      <c r="BS1" s="13"/>
      <c r="BT1" s="13"/>
      <c r="BU1" s="8"/>
      <c r="BW1" s="26" t="s">
        <v>66</v>
      </c>
      <c r="BY1" s="26" t="s">
        <v>67</v>
      </c>
      <c r="BZ1" s="26"/>
      <c r="CA1" s="26"/>
      <c r="CC1" s="26" t="s">
        <v>64</v>
      </c>
      <c r="CE1" s="26" t="s">
        <v>65</v>
      </c>
      <c r="CG1" t="s">
        <v>68</v>
      </c>
    </row>
    <row r="2" spans="1:88" ht="15.75" customHeight="1" thickBot="1" x14ac:dyDescent="0.3">
      <c r="A2" s="9"/>
      <c r="B2" s="10"/>
      <c r="C2" s="9"/>
      <c r="D2" s="14"/>
      <c r="E2" s="14"/>
      <c r="F2" s="10"/>
      <c r="H2" s="1">
        <v>1</v>
      </c>
      <c r="I2" s="1" t="str" cm="1">
        <f t="array" ref="I2:L53">_xlfn._xlws.FILTER(Data[],Data[Número]&gt;H2)</f>
        <v>B</v>
      </c>
      <c r="J2" s="1">
        <v>2</v>
      </c>
      <c r="K2" s="1">
        <v>2</v>
      </c>
      <c r="L2" s="1" t="b">
        <v>0</v>
      </c>
      <c r="N2" s="9"/>
      <c r="O2" s="10"/>
      <c r="P2" s="9"/>
      <c r="Q2" s="14"/>
      <c r="R2" s="14"/>
      <c r="S2" s="10"/>
      <c r="U2" s="1" t="str" cm="1">
        <f t="array" ref="U2:X55">_xlfn.SORTBY(Data[],Data[Mayor Que la Media],-1,Data[Número],1)</f>
        <v>Ñ</v>
      </c>
      <c r="V2" s="1">
        <v>15</v>
      </c>
      <c r="W2" s="1">
        <v>15</v>
      </c>
      <c r="X2" s="1" t="b">
        <v>1</v>
      </c>
      <c r="Z2" s="9"/>
      <c r="AA2" s="10"/>
      <c r="AB2" s="9"/>
      <c r="AC2" s="14"/>
      <c r="AD2" s="14"/>
      <c r="AE2" s="10"/>
      <c r="AG2" s="1" t="b">
        <v>1</v>
      </c>
      <c r="AI2" s="52" t="str" cm="1">
        <f t="array" ref="AI2:AJ28">_xlfn.UNIQUE(Data[[Letras]:[Número]],FALSE)</f>
        <v>A</v>
      </c>
      <c r="AJ2" s="52">
        <v>1</v>
      </c>
      <c r="AK2" s="52"/>
      <c r="AL2" s="53">
        <f>COUNT(AJ2:AJ28)/ROWS(Data[])</f>
        <v>0.5</v>
      </c>
      <c r="AN2" s="9"/>
      <c r="AO2" s="10"/>
      <c r="AP2" s="9"/>
      <c r="AQ2" s="14"/>
      <c r="AR2" s="14"/>
      <c r="AS2" s="10"/>
      <c r="AU2" s="54">
        <v>10</v>
      </c>
      <c r="AW2" s="52" cm="1">
        <f t="array" ref="AW2:AW11">_xlfn.SEQUENCE(AU2,AU4,AU6,AU8)</f>
        <v>0</v>
      </c>
      <c r="AY2" s="9"/>
      <c r="AZ2" s="10"/>
      <c r="BA2" s="9"/>
      <c r="BB2" s="14"/>
      <c r="BC2" s="14"/>
      <c r="BD2" s="10"/>
      <c r="BF2" s="54">
        <v>10</v>
      </c>
      <c r="BH2" s="52" t="str" cm="1">
        <f t="array" ref="BH2:BH11">_xlfn.TAKE(Data[],BF2,BF4)</f>
        <v>A</v>
      </c>
      <c r="BI2" s="52"/>
      <c r="BJ2" s="52"/>
      <c r="BK2" s="52"/>
      <c r="BL2" s="52" cm="1">
        <f t="array" ref="BL2:BN45">_xlfn.DROP(Data[],BF2,BF4)</f>
        <v>11</v>
      </c>
      <c r="BM2" s="52">
        <v>11</v>
      </c>
      <c r="BN2" s="52" t="b">
        <v>0</v>
      </c>
      <c r="BP2" s="11"/>
      <c r="BQ2" s="12"/>
      <c r="BR2" s="9"/>
      <c r="BS2" s="14"/>
      <c r="BT2" s="14"/>
      <c r="BU2" s="10"/>
      <c r="BW2" s="52" t="str" cm="1">
        <f t="array" ref="BW2:BW109">_xlfn.VSTACK(Data[Letras],Data[Número])</f>
        <v>A</v>
      </c>
      <c r="BY2" s="52" t="str" cm="1">
        <f t="array" ref="BY2:CA55">_xlfn.HSTACK(Data[Letras],Data[Acum],Data[Número])</f>
        <v>A</v>
      </c>
      <c r="BZ2" s="52">
        <v>1</v>
      </c>
      <c r="CA2" s="52">
        <v>1</v>
      </c>
      <c r="CC2" s="52" t="str" cm="1">
        <f t="array" ref="CC2:CC217">_xlfn.TOCOL(Data[])</f>
        <v>A</v>
      </c>
      <c r="CE2" s="52" t="str" cm="1">
        <f t="array" ref="CE2:CE55">_xlfn.CHOOSECOLS(Data[],1)</f>
        <v>A</v>
      </c>
      <c r="CG2" t="str" cm="1">
        <f t="array" ref="CG2:CJ2">_xlfn.CHOOSEROWS(Data[],1)</f>
        <v>A</v>
      </c>
      <c r="CH2">
        <v>1</v>
      </c>
      <c r="CI2">
        <v>1</v>
      </c>
      <c r="CJ2" t="b">
        <v>0</v>
      </c>
    </row>
    <row r="3" spans="1:88" ht="15.75" customHeight="1" thickBot="1" x14ac:dyDescent="0.3">
      <c r="A3" s="9"/>
      <c r="B3" s="10"/>
      <c r="C3" s="9"/>
      <c r="D3" s="14"/>
      <c r="E3" s="14"/>
      <c r="F3" s="10"/>
      <c r="I3" s="1" t="str">
        <v>C</v>
      </c>
      <c r="J3" s="1">
        <v>3</v>
      </c>
      <c r="K3" s="1">
        <v>3</v>
      </c>
      <c r="L3" s="1" t="b">
        <v>0</v>
      </c>
      <c r="N3" s="9"/>
      <c r="O3" s="10"/>
      <c r="P3" s="9"/>
      <c r="Q3" s="14"/>
      <c r="R3" s="14"/>
      <c r="S3" s="10"/>
      <c r="U3" s="1" t="str">
        <v>Ñ</v>
      </c>
      <c r="V3" s="1">
        <v>15</v>
      </c>
      <c r="W3" s="1">
        <v>42</v>
      </c>
      <c r="X3" s="1" t="b">
        <v>1</v>
      </c>
      <c r="Z3" s="9"/>
      <c r="AA3" s="10"/>
      <c r="AB3" s="9"/>
      <c r="AC3" s="14"/>
      <c r="AD3" s="14"/>
      <c r="AE3" s="10"/>
      <c r="AI3" s="52" t="str">
        <v>B</v>
      </c>
      <c r="AJ3" s="52">
        <v>2</v>
      </c>
      <c r="AK3" s="52"/>
      <c r="AL3" s="52"/>
      <c r="AN3" s="9"/>
      <c r="AO3" s="10"/>
      <c r="AP3" s="9"/>
      <c r="AQ3" s="14"/>
      <c r="AR3" s="14"/>
      <c r="AS3" s="10"/>
      <c r="AU3" s="54" t="s">
        <v>56</v>
      </c>
      <c r="AW3" s="1">
        <v>1</v>
      </c>
      <c r="AY3" s="9"/>
      <c r="AZ3" s="10"/>
      <c r="BA3" s="9"/>
      <c r="BB3" s="14"/>
      <c r="BC3" s="14"/>
      <c r="BD3" s="10"/>
      <c r="BF3" s="54" t="s">
        <v>56</v>
      </c>
      <c r="BH3" s="1" t="str">
        <v>B</v>
      </c>
      <c r="BL3" s="1">
        <v>12</v>
      </c>
      <c r="BM3" s="1">
        <v>12</v>
      </c>
      <c r="BN3" s="1" t="b">
        <v>0</v>
      </c>
      <c r="BP3" s="7" t="s">
        <v>64</v>
      </c>
      <c r="BQ3" s="8"/>
      <c r="BR3" s="9"/>
      <c r="BS3" s="14"/>
      <c r="BT3" s="14"/>
      <c r="BU3" s="10"/>
      <c r="BW3" s="1" t="str">
        <v>B</v>
      </c>
      <c r="BY3" s="1" t="str">
        <v>B</v>
      </c>
      <c r="BZ3" s="1">
        <v>2</v>
      </c>
      <c r="CA3" s="1">
        <v>2</v>
      </c>
      <c r="CC3" s="1">
        <v>1</v>
      </c>
      <c r="CE3" s="1" t="str">
        <v>B</v>
      </c>
    </row>
    <row r="4" spans="1:88" ht="15.75" customHeight="1" thickBot="1" x14ac:dyDescent="0.3">
      <c r="A4" s="9"/>
      <c r="B4" s="10"/>
      <c r="C4" s="9"/>
      <c r="D4" s="14"/>
      <c r="E4" s="14"/>
      <c r="F4" s="10"/>
      <c r="I4" s="1" t="str">
        <v>D</v>
      </c>
      <c r="J4" s="1">
        <v>4</v>
      </c>
      <c r="K4" s="1">
        <v>4</v>
      </c>
      <c r="L4" s="1" t="b">
        <v>0</v>
      </c>
      <c r="N4" s="9"/>
      <c r="O4" s="10"/>
      <c r="P4" s="9"/>
      <c r="Q4" s="14"/>
      <c r="R4" s="14"/>
      <c r="S4" s="10"/>
      <c r="U4" s="1" t="str">
        <v>O</v>
      </c>
      <c r="V4" s="1">
        <v>16</v>
      </c>
      <c r="W4" s="1">
        <v>16</v>
      </c>
      <c r="X4" s="1" t="b">
        <v>1</v>
      </c>
      <c r="Z4" s="9"/>
      <c r="AA4" s="10"/>
      <c r="AB4" s="9"/>
      <c r="AC4" s="14"/>
      <c r="AD4" s="14"/>
      <c r="AE4" s="10"/>
      <c r="AI4" s="52" t="str">
        <v>C</v>
      </c>
      <c r="AJ4" s="52">
        <v>3</v>
      </c>
      <c r="AK4" s="52"/>
      <c r="AL4" s="52"/>
      <c r="AN4" s="9"/>
      <c r="AO4" s="10"/>
      <c r="AP4" s="9"/>
      <c r="AQ4" s="14"/>
      <c r="AR4" s="14"/>
      <c r="AS4" s="10"/>
      <c r="AU4" s="54">
        <v>1</v>
      </c>
      <c r="AW4" s="1">
        <v>2</v>
      </c>
      <c r="AY4" s="9"/>
      <c r="AZ4" s="10"/>
      <c r="BA4" s="9"/>
      <c r="BB4" s="14"/>
      <c r="BC4" s="14"/>
      <c r="BD4" s="10"/>
      <c r="BF4" s="54">
        <v>1</v>
      </c>
      <c r="BH4" s="1" t="str">
        <v>C</v>
      </c>
      <c r="BL4" s="1">
        <v>13</v>
      </c>
      <c r="BM4" s="1">
        <v>13</v>
      </c>
      <c r="BN4" s="1" t="b">
        <v>0</v>
      </c>
      <c r="BP4" s="11"/>
      <c r="BQ4" s="12"/>
      <c r="BR4" s="9"/>
      <c r="BS4" s="14"/>
      <c r="BT4" s="14"/>
      <c r="BU4" s="10"/>
      <c r="BW4" s="1" t="str">
        <v>C</v>
      </c>
      <c r="BY4" s="1" t="str">
        <v>C</v>
      </c>
      <c r="BZ4" s="1">
        <v>3</v>
      </c>
      <c r="CA4" s="1">
        <v>3</v>
      </c>
      <c r="CC4" s="1">
        <v>1</v>
      </c>
      <c r="CE4" s="1" t="str">
        <v>C</v>
      </c>
    </row>
    <row r="5" spans="1:88" ht="15.75" customHeight="1" thickBot="1" x14ac:dyDescent="0.3">
      <c r="A5" s="11"/>
      <c r="B5" s="12"/>
      <c r="C5" s="11"/>
      <c r="D5" s="15"/>
      <c r="E5" s="15"/>
      <c r="F5" s="12"/>
      <c r="I5" s="1" t="str">
        <v>E</v>
      </c>
      <c r="J5" s="1">
        <v>5</v>
      </c>
      <c r="K5" s="1">
        <v>5</v>
      </c>
      <c r="L5" s="1" t="b">
        <v>0</v>
      </c>
      <c r="N5" s="11"/>
      <c r="O5" s="12"/>
      <c r="P5" s="11"/>
      <c r="Q5" s="15"/>
      <c r="R5" s="15"/>
      <c r="S5" s="12"/>
      <c r="U5" s="1" t="str">
        <v>O</v>
      </c>
      <c r="V5" s="1">
        <v>16</v>
      </c>
      <c r="W5" s="1">
        <v>43</v>
      </c>
      <c r="X5" s="1" t="b">
        <v>1</v>
      </c>
      <c r="Z5" s="11"/>
      <c r="AA5" s="12"/>
      <c r="AB5" s="11"/>
      <c r="AC5" s="15"/>
      <c r="AD5" s="15"/>
      <c r="AE5" s="12"/>
      <c r="AI5" s="52" t="str">
        <v>D</v>
      </c>
      <c r="AJ5" s="52">
        <v>4</v>
      </c>
      <c r="AK5" s="52"/>
      <c r="AL5" s="52"/>
      <c r="AN5" s="11"/>
      <c r="AO5" s="12"/>
      <c r="AP5" s="11"/>
      <c r="AQ5" s="15"/>
      <c r="AR5" s="15"/>
      <c r="AS5" s="12"/>
      <c r="AU5" s="54" t="s">
        <v>57</v>
      </c>
      <c r="AW5" s="1">
        <v>3</v>
      </c>
      <c r="AY5" s="11"/>
      <c r="AZ5" s="12"/>
      <c r="BA5" s="11"/>
      <c r="BB5" s="15"/>
      <c r="BC5" s="15"/>
      <c r="BD5" s="12"/>
      <c r="BH5" s="1" t="str">
        <v>D</v>
      </c>
      <c r="BL5" s="1">
        <v>14</v>
      </c>
      <c r="BM5" s="1">
        <v>14</v>
      </c>
      <c r="BN5" s="1" t="b">
        <v>0</v>
      </c>
      <c r="BP5" s="7" t="s">
        <v>65</v>
      </c>
      <c r="BQ5" s="8"/>
      <c r="BR5" s="9"/>
      <c r="BS5" s="14"/>
      <c r="BT5" s="14"/>
      <c r="BU5" s="10"/>
      <c r="BW5" s="1" t="str">
        <v>D</v>
      </c>
      <c r="BY5" s="1" t="str">
        <v>D</v>
      </c>
      <c r="BZ5" s="1">
        <v>4</v>
      </c>
      <c r="CA5" s="1">
        <v>4</v>
      </c>
      <c r="CC5" s="1" t="b">
        <v>0</v>
      </c>
      <c r="CE5" s="1" t="str">
        <v>D</v>
      </c>
    </row>
    <row r="6" spans="1:88" ht="15.75" customHeight="1" thickBot="1" x14ac:dyDescent="0.3">
      <c r="A6" s="3"/>
      <c r="B6" s="3"/>
      <c r="C6" s="16" t="str">
        <f ca="1">_xlfn.FORMULATEXT(I2)</f>
        <v>=FILTRAR(Data;Data[Número]&gt;H2)</v>
      </c>
      <c r="D6" s="17"/>
      <c r="E6" s="17"/>
      <c r="F6" s="18"/>
      <c r="I6" s="1" t="str">
        <v>F</v>
      </c>
      <c r="J6" s="1">
        <v>6</v>
      </c>
      <c r="K6" s="1">
        <v>6</v>
      </c>
      <c r="L6" s="1" t="b">
        <v>0</v>
      </c>
      <c r="P6" s="49" t="str">
        <f ca="1">_xlfn.FORMULATEXT(U2)</f>
        <v>=ORDENARPOR(Data;Data[Mayor Que la Media];-1;Data[Número];1)</v>
      </c>
      <c r="Q6" s="49"/>
      <c r="R6" s="49"/>
      <c r="S6" s="49"/>
      <c r="U6" s="1" t="str">
        <v>P</v>
      </c>
      <c r="V6" s="1">
        <v>17</v>
      </c>
      <c r="W6" s="1">
        <v>17</v>
      </c>
      <c r="X6" s="1" t="b">
        <v>1</v>
      </c>
      <c r="AB6" s="16" t="str">
        <f ca="1">_xlfn.FORMULATEXT(AG1)</f>
        <v>=UNICOS(Data[Mayor Que la Media])</v>
      </c>
      <c r="AC6" s="17"/>
      <c r="AD6" s="17"/>
      <c r="AE6" s="18"/>
      <c r="AI6" s="52" t="str">
        <v>E</v>
      </c>
      <c r="AJ6" s="52">
        <v>5</v>
      </c>
      <c r="AK6" s="52"/>
      <c r="AL6" s="52"/>
      <c r="AP6" s="16" t="str">
        <f ca="1">_xlfn.FORMULATEXT(AW2)</f>
        <v>=SECUENCIA(AU2;AU4;AU6;AU8)</v>
      </c>
      <c r="AQ6" s="17"/>
      <c r="AR6" s="17"/>
      <c r="AS6" s="18"/>
      <c r="AU6" s="54">
        <v>0</v>
      </c>
      <c r="AW6" s="1">
        <v>4</v>
      </c>
      <c r="BA6" s="16" t="str">
        <f ca="1">_xlfn.FORMULATEXT(BH2)</f>
        <v>=TOMAR(Data;BF2;BF4)</v>
      </c>
      <c r="BB6" s="17"/>
      <c r="BC6" s="17"/>
      <c r="BD6" s="18"/>
      <c r="BH6" s="1" t="str">
        <v>E</v>
      </c>
      <c r="BL6" s="1">
        <v>15</v>
      </c>
      <c r="BM6" s="1">
        <v>15</v>
      </c>
      <c r="BN6" s="1" t="b">
        <v>1</v>
      </c>
      <c r="BP6" s="11"/>
      <c r="BQ6" s="12"/>
      <c r="BR6" s="9"/>
      <c r="BS6" s="14"/>
      <c r="BT6" s="14"/>
      <c r="BU6" s="10"/>
      <c r="BW6" s="1" t="str">
        <v>E</v>
      </c>
      <c r="BY6" s="1" t="str">
        <v>E</v>
      </c>
      <c r="BZ6" s="1">
        <v>5</v>
      </c>
      <c r="CA6" s="1">
        <v>5</v>
      </c>
      <c r="CC6" s="1" t="str">
        <v>B</v>
      </c>
      <c r="CE6" s="1" t="str">
        <v>E</v>
      </c>
    </row>
    <row r="7" spans="1:88" ht="15.75" thickBot="1" x14ac:dyDescent="0.3">
      <c r="A7" s="3"/>
      <c r="B7" s="3"/>
      <c r="I7" s="1" t="str">
        <v>G</v>
      </c>
      <c r="J7" s="1">
        <v>7</v>
      </c>
      <c r="K7" s="1">
        <v>7</v>
      </c>
      <c r="L7" s="1" t="b">
        <v>0</v>
      </c>
      <c r="P7" s="50"/>
      <c r="Q7" s="50"/>
      <c r="R7" s="50"/>
      <c r="S7" s="50"/>
      <c r="U7" s="1" t="str">
        <v>P</v>
      </c>
      <c r="V7" s="1">
        <v>17</v>
      </c>
      <c r="W7" s="1">
        <v>44</v>
      </c>
      <c r="X7" s="1" t="b">
        <v>1</v>
      </c>
      <c r="AB7" s="16" t="str">
        <f ca="1">_xlfn.FORMULATEXT(AI2)</f>
        <v>=UNICOS(Data[[Letras]:[Número]];FALSO)</v>
      </c>
      <c r="AC7" s="17"/>
      <c r="AD7" s="17"/>
      <c r="AE7" s="18"/>
      <c r="AI7" s="52" t="str">
        <v>F</v>
      </c>
      <c r="AJ7" s="52">
        <v>6</v>
      </c>
      <c r="AK7" s="52"/>
      <c r="AL7" s="52"/>
      <c r="AU7" s="54" t="s">
        <v>58</v>
      </c>
      <c r="AW7" s="1">
        <v>5</v>
      </c>
      <c r="BA7" s="16" t="str">
        <f ca="1">_xlfn.FORMULATEXT(BL2)</f>
        <v>=EXCLUIR(Data;BF2;BF4)</v>
      </c>
      <c r="BB7" s="17"/>
      <c r="BC7" s="17"/>
      <c r="BD7" s="18"/>
      <c r="BH7" s="1" t="str">
        <v>F</v>
      </c>
      <c r="BL7" s="1">
        <v>16</v>
      </c>
      <c r="BM7" s="1">
        <v>16</v>
      </c>
      <c r="BN7" s="1" t="b">
        <v>1</v>
      </c>
      <c r="BP7" s="7" t="s">
        <v>68</v>
      </c>
      <c r="BQ7" s="8"/>
      <c r="BR7" s="9"/>
      <c r="BS7" s="14"/>
      <c r="BT7" s="14"/>
      <c r="BU7" s="10"/>
      <c r="BW7" s="1" t="str">
        <v>F</v>
      </c>
      <c r="BY7" s="1" t="str">
        <v>F</v>
      </c>
      <c r="BZ7" s="1">
        <v>6</v>
      </c>
      <c r="CA7" s="1">
        <v>6</v>
      </c>
      <c r="CC7" s="1">
        <v>2</v>
      </c>
      <c r="CE7" s="1" t="str">
        <v>F</v>
      </c>
    </row>
    <row r="8" spans="1:88" ht="15.75" thickBot="1" x14ac:dyDescent="0.3">
      <c r="I8" s="1" t="str">
        <v>H</v>
      </c>
      <c r="J8" s="1">
        <v>8</v>
      </c>
      <c r="K8" s="1">
        <v>8</v>
      </c>
      <c r="L8" s="1" t="b">
        <v>0</v>
      </c>
      <c r="U8" s="1" t="str">
        <v>Q</v>
      </c>
      <c r="V8" s="1">
        <v>18</v>
      </c>
      <c r="W8" s="1">
        <v>18</v>
      </c>
      <c r="X8" s="1" t="b">
        <v>1</v>
      </c>
      <c r="AI8" s="52" t="str">
        <v>G</v>
      </c>
      <c r="AJ8" s="52">
        <v>7</v>
      </c>
      <c r="AK8" s="52"/>
      <c r="AL8" s="52"/>
      <c r="AU8" s="54">
        <v>1</v>
      </c>
      <c r="AW8" s="1">
        <v>6</v>
      </c>
      <c r="BH8" s="1" t="str">
        <v>G</v>
      </c>
      <c r="BL8" s="1">
        <v>17</v>
      </c>
      <c r="BM8" s="1">
        <v>17</v>
      </c>
      <c r="BN8" s="1" t="b">
        <v>1</v>
      </c>
      <c r="BP8" s="11"/>
      <c r="BQ8" s="12"/>
      <c r="BR8" s="11"/>
      <c r="BS8" s="15"/>
      <c r="BT8" s="15"/>
      <c r="BU8" s="12"/>
      <c r="BW8" s="1" t="str">
        <v>G</v>
      </c>
      <c r="BY8" s="1" t="str">
        <v>G</v>
      </c>
      <c r="BZ8" s="1">
        <v>7</v>
      </c>
      <c r="CA8" s="1">
        <v>7</v>
      </c>
      <c r="CC8" s="1">
        <v>2</v>
      </c>
      <c r="CE8" s="1" t="str">
        <v>G</v>
      </c>
    </row>
    <row r="9" spans="1:88" ht="15.75" thickBot="1" x14ac:dyDescent="0.3">
      <c r="I9" s="1" t="str">
        <v>I</v>
      </c>
      <c r="J9" s="1">
        <v>9</v>
      </c>
      <c r="K9" s="1">
        <v>9</v>
      </c>
      <c r="L9" s="1" t="b">
        <v>0</v>
      </c>
      <c r="U9" s="1" t="str">
        <v>Q</v>
      </c>
      <c r="V9" s="1">
        <v>18</v>
      </c>
      <c r="W9" s="1">
        <v>45</v>
      </c>
      <c r="X9" s="1" t="b">
        <v>1</v>
      </c>
      <c r="AI9" s="52" t="str">
        <v>H</v>
      </c>
      <c r="AJ9" s="52">
        <v>8</v>
      </c>
      <c r="AK9" s="52"/>
      <c r="AL9" s="52"/>
      <c r="AW9" s="1">
        <v>7</v>
      </c>
      <c r="BH9" s="1" t="str">
        <v>H</v>
      </c>
      <c r="BL9" s="1">
        <v>18</v>
      </c>
      <c r="BM9" s="1">
        <v>18</v>
      </c>
      <c r="BN9" s="1" t="b">
        <v>1</v>
      </c>
      <c r="BR9" s="16" t="str">
        <f ca="1">_xlfn.FORMULATEXT(BW2)</f>
        <v>=APILARV(Data[Letras];Data[Número])</v>
      </c>
      <c r="BS9" s="17"/>
      <c r="BT9" s="17"/>
      <c r="BU9" s="18"/>
      <c r="BW9" s="1" t="str">
        <v>H</v>
      </c>
      <c r="BY9" s="1" t="str">
        <v>H</v>
      </c>
      <c r="BZ9" s="1">
        <v>8</v>
      </c>
      <c r="CA9" s="1">
        <v>8</v>
      </c>
      <c r="CC9" s="1" t="b">
        <v>0</v>
      </c>
      <c r="CE9" s="1" t="str">
        <v>H</v>
      </c>
    </row>
    <row r="10" spans="1:88" ht="15.75" thickBot="1" x14ac:dyDescent="0.3">
      <c r="I10" s="1" t="str">
        <v>J</v>
      </c>
      <c r="J10" s="1">
        <v>10</v>
      </c>
      <c r="K10" s="1">
        <v>10</v>
      </c>
      <c r="L10" s="1" t="b">
        <v>0</v>
      </c>
      <c r="U10" s="1" t="str">
        <v>R</v>
      </c>
      <c r="V10" s="1">
        <v>19</v>
      </c>
      <c r="W10" s="1">
        <v>19</v>
      </c>
      <c r="X10" s="1" t="b">
        <v>1</v>
      </c>
      <c r="AI10" s="52" t="str">
        <v>I</v>
      </c>
      <c r="AJ10" s="52">
        <v>9</v>
      </c>
      <c r="AK10" s="52"/>
      <c r="AL10" s="52"/>
      <c r="AW10" s="1">
        <v>8</v>
      </c>
      <c r="BH10" s="1" t="str">
        <v>I</v>
      </c>
      <c r="BL10" s="1">
        <v>19</v>
      </c>
      <c r="BM10" s="1">
        <v>19</v>
      </c>
      <c r="BN10" s="1" t="b">
        <v>1</v>
      </c>
      <c r="BR10" s="16" t="str">
        <f ca="1">_xlfn.FORMULATEXT(BY2)</f>
        <v>=APILARH(Data[Letras];Data[Acum];Data[Número])</v>
      </c>
      <c r="BS10" s="17"/>
      <c r="BT10" s="17"/>
      <c r="BU10" s="18"/>
      <c r="BW10" s="1" t="str">
        <v>I</v>
      </c>
      <c r="BY10" s="1" t="str">
        <v>I</v>
      </c>
      <c r="BZ10" s="1">
        <v>9</v>
      </c>
      <c r="CA10" s="1">
        <v>9</v>
      </c>
      <c r="CC10" s="1" t="str">
        <v>C</v>
      </c>
      <c r="CE10" s="1" t="str">
        <v>I</v>
      </c>
    </row>
    <row r="11" spans="1:88" ht="15.75" thickBot="1" x14ac:dyDescent="0.3">
      <c r="I11" s="1" t="str">
        <v>K</v>
      </c>
      <c r="J11" s="1">
        <v>11</v>
      </c>
      <c r="K11" s="1">
        <v>11</v>
      </c>
      <c r="L11" s="1" t="b">
        <v>0</v>
      </c>
      <c r="U11" s="1" t="str">
        <v>R</v>
      </c>
      <c r="V11" s="1">
        <v>19</v>
      </c>
      <c r="W11" s="1">
        <v>46</v>
      </c>
      <c r="X11" s="1" t="b">
        <v>1</v>
      </c>
      <c r="AI11" s="52" t="str">
        <v>J</v>
      </c>
      <c r="AJ11" s="52">
        <v>10</v>
      </c>
      <c r="AK11" s="52"/>
      <c r="AL11" s="52"/>
      <c r="AW11" s="1">
        <v>9</v>
      </c>
      <c r="BH11" s="1" t="str">
        <v>J</v>
      </c>
      <c r="BL11" s="1">
        <v>20</v>
      </c>
      <c r="BM11" s="1">
        <v>20</v>
      </c>
      <c r="BN11" s="1" t="b">
        <v>1</v>
      </c>
      <c r="BR11" s="16" t="str">
        <f ca="1">_xlfn.FORMULATEXT(CC2)</f>
        <v>=ENCOL(Data)</v>
      </c>
      <c r="BS11" s="17"/>
      <c r="BT11" s="17"/>
      <c r="BU11" s="18"/>
      <c r="BW11" s="1" t="str">
        <v>J</v>
      </c>
      <c r="BY11" s="1" t="str">
        <v>J</v>
      </c>
      <c r="BZ11" s="1">
        <v>10</v>
      </c>
      <c r="CA11" s="1">
        <v>10</v>
      </c>
      <c r="CC11" s="1">
        <v>3</v>
      </c>
      <c r="CE11" s="1" t="str">
        <v>J</v>
      </c>
    </row>
    <row r="12" spans="1:88" ht="15.75" thickBot="1" x14ac:dyDescent="0.3">
      <c r="I12" s="1" t="str">
        <v>L</v>
      </c>
      <c r="J12" s="1">
        <v>12</v>
      </c>
      <c r="K12" s="1">
        <v>12</v>
      </c>
      <c r="L12" s="1" t="b">
        <v>0</v>
      </c>
      <c r="U12" s="1" t="str">
        <v>S</v>
      </c>
      <c r="V12" s="1">
        <v>20</v>
      </c>
      <c r="W12" s="1">
        <v>20</v>
      </c>
      <c r="X12" s="1" t="b">
        <v>1</v>
      </c>
      <c r="AI12" s="52" t="str">
        <v>K</v>
      </c>
      <c r="AJ12" s="52">
        <v>11</v>
      </c>
      <c r="AK12" s="52"/>
      <c r="AL12" s="52"/>
      <c r="BL12" s="1">
        <v>21</v>
      </c>
      <c r="BM12" s="1">
        <v>21</v>
      </c>
      <c r="BN12" s="1" t="b">
        <v>1</v>
      </c>
      <c r="BR12" s="16" t="str">
        <f ca="1">_xlfn.FORMULATEXT(CE2)</f>
        <v>=ELEGIRCOLS(Data;1)</v>
      </c>
      <c r="BS12" s="17"/>
      <c r="BT12" s="17"/>
      <c r="BU12" s="18"/>
      <c r="BW12" s="1" t="str">
        <v>K</v>
      </c>
      <c r="BY12" s="1" t="str">
        <v>K</v>
      </c>
      <c r="BZ12" s="1">
        <v>11</v>
      </c>
      <c r="CA12" s="1">
        <v>11</v>
      </c>
      <c r="CC12" s="1">
        <v>3</v>
      </c>
      <c r="CE12" s="1" t="str">
        <v>K</v>
      </c>
    </row>
    <row r="13" spans="1:88" ht="15.75" thickBot="1" x14ac:dyDescent="0.3">
      <c r="I13" s="1" t="str">
        <v>M</v>
      </c>
      <c r="J13" s="1">
        <v>13</v>
      </c>
      <c r="K13" s="1">
        <v>13</v>
      </c>
      <c r="L13" s="1" t="b">
        <v>0</v>
      </c>
      <c r="U13" s="1" t="str">
        <v>S</v>
      </c>
      <c r="V13" s="1">
        <v>20</v>
      </c>
      <c r="W13" s="1">
        <v>47</v>
      </c>
      <c r="X13" s="1" t="b">
        <v>1</v>
      </c>
      <c r="AI13" s="52" t="str">
        <v>L</v>
      </c>
      <c r="AJ13" s="52">
        <v>12</v>
      </c>
      <c r="AK13" s="52"/>
      <c r="AL13" s="52"/>
      <c r="BL13" s="1">
        <v>22</v>
      </c>
      <c r="BM13" s="1">
        <v>22</v>
      </c>
      <c r="BN13" s="1" t="b">
        <v>1</v>
      </c>
      <c r="BR13" s="16" t="str">
        <f ca="1">_xlfn.FORMULATEXT(CG2)</f>
        <v>=ELEGIRFILAS(Data;1)</v>
      </c>
      <c r="BS13" s="17"/>
      <c r="BT13" s="17"/>
      <c r="BU13" s="18"/>
      <c r="BW13" s="1" t="str">
        <v>L</v>
      </c>
      <c r="BY13" s="1" t="str">
        <v>L</v>
      </c>
      <c r="BZ13" s="1">
        <v>12</v>
      </c>
      <c r="CA13" s="1">
        <v>12</v>
      </c>
      <c r="CC13" s="1" t="b">
        <v>0</v>
      </c>
      <c r="CE13" s="1" t="str">
        <v>L</v>
      </c>
    </row>
    <row r="14" spans="1:88" x14ac:dyDescent="0.25">
      <c r="I14" s="1" t="str">
        <v>N</v>
      </c>
      <c r="J14" s="1">
        <v>14</v>
      </c>
      <c r="K14" s="1">
        <v>14</v>
      </c>
      <c r="L14" s="1" t="b">
        <v>0</v>
      </c>
      <c r="U14" s="1" t="str">
        <v>T</v>
      </c>
      <c r="V14" s="1">
        <v>21</v>
      </c>
      <c r="W14" s="1">
        <v>21</v>
      </c>
      <c r="X14" s="1" t="b">
        <v>1</v>
      </c>
      <c r="AI14" s="52" t="str">
        <v>M</v>
      </c>
      <c r="AJ14" s="52">
        <v>13</v>
      </c>
      <c r="AK14" s="52"/>
      <c r="AL14" s="52"/>
      <c r="BL14" s="1">
        <v>23</v>
      </c>
      <c r="BM14" s="1">
        <v>23</v>
      </c>
      <c r="BN14" s="1" t="b">
        <v>1</v>
      </c>
      <c r="BW14" s="1" t="str">
        <v>M</v>
      </c>
      <c r="BY14" s="1" t="str">
        <v>M</v>
      </c>
      <c r="BZ14" s="1">
        <v>13</v>
      </c>
      <c r="CA14" s="1">
        <v>13</v>
      </c>
      <c r="CC14" s="1" t="str">
        <v>D</v>
      </c>
      <c r="CE14" s="1" t="str">
        <v>M</v>
      </c>
    </row>
    <row r="15" spans="1:88" x14ac:dyDescent="0.25">
      <c r="I15" s="1" t="str">
        <v>Ñ</v>
      </c>
      <c r="J15" s="1">
        <v>15</v>
      </c>
      <c r="K15" s="1">
        <v>15</v>
      </c>
      <c r="L15" s="1" t="b">
        <v>1</v>
      </c>
      <c r="U15" s="1" t="str">
        <v>T</v>
      </c>
      <c r="V15" s="1">
        <v>21</v>
      </c>
      <c r="W15" s="1">
        <v>48</v>
      </c>
      <c r="X15" s="1" t="b">
        <v>1</v>
      </c>
      <c r="AI15" s="52" t="str">
        <v>N</v>
      </c>
      <c r="AJ15" s="52">
        <v>14</v>
      </c>
      <c r="AK15" s="52"/>
      <c r="AL15" s="52"/>
      <c r="BL15" s="1">
        <v>24</v>
      </c>
      <c r="BM15" s="1">
        <v>24</v>
      </c>
      <c r="BN15" s="1" t="b">
        <v>1</v>
      </c>
      <c r="BW15" s="1" t="str">
        <v>N</v>
      </c>
      <c r="BY15" s="1" t="str">
        <v>N</v>
      </c>
      <c r="BZ15" s="1">
        <v>14</v>
      </c>
      <c r="CA15" s="1">
        <v>14</v>
      </c>
      <c r="CC15" s="1">
        <v>4</v>
      </c>
      <c r="CE15" s="1" t="str">
        <v>N</v>
      </c>
    </row>
    <row r="16" spans="1:88" x14ac:dyDescent="0.25">
      <c r="I16" s="1" t="str">
        <v>O</v>
      </c>
      <c r="J16" s="1">
        <v>16</v>
      </c>
      <c r="K16" s="1">
        <v>16</v>
      </c>
      <c r="L16" s="1" t="b">
        <v>1</v>
      </c>
      <c r="U16" s="1" t="str">
        <v>U</v>
      </c>
      <c r="V16" s="1">
        <v>22</v>
      </c>
      <c r="W16" s="1">
        <v>22</v>
      </c>
      <c r="X16" s="1" t="b">
        <v>1</v>
      </c>
      <c r="AI16" s="52" t="str">
        <v>Ñ</v>
      </c>
      <c r="AJ16" s="52">
        <v>15</v>
      </c>
      <c r="AK16" s="52"/>
      <c r="AL16" s="52"/>
      <c r="BL16" s="1">
        <v>25</v>
      </c>
      <c r="BM16" s="1">
        <v>25</v>
      </c>
      <c r="BN16" s="1" t="b">
        <v>1</v>
      </c>
      <c r="BW16" s="1" t="str">
        <v>Ñ</v>
      </c>
      <c r="BY16" s="1" t="str">
        <v>Ñ</v>
      </c>
      <c r="BZ16" s="1">
        <v>15</v>
      </c>
      <c r="CA16" s="1">
        <v>15</v>
      </c>
      <c r="CC16" s="1">
        <v>4</v>
      </c>
      <c r="CE16" s="1" t="str">
        <v>Ñ</v>
      </c>
    </row>
    <row r="17" spans="9:83" x14ac:dyDescent="0.25">
      <c r="I17" s="1" t="str">
        <v>P</v>
      </c>
      <c r="J17" s="1">
        <v>17</v>
      </c>
      <c r="K17" s="1">
        <v>17</v>
      </c>
      <c r="L17" s="1" t="b">
        <v>1</v>
      </c>
      <c r="U17" s="1" t="str">
        <v>U</v>
      </c>
      <c r="V17" s="1">
        <v>22</v>
      </c>
      <c r="W17" s="1">
        <v>49</v>
      </c>
      <c r="X17" s="1" t="b">
        <v>1</v>
      </c>
      <c r="AI17" s="52" t="str">
        <v>O</v>
      </c>
      <c r="AJ17" s="52">
        <v>16</v>
      </c>
      <c r="AK17" s="52"/>
      <c r="AL17" s="52"/>
      <c r="BL17" s="1">
        <v>26</v>
      </c>
      <c r="BM17" s="1">
        <v>26</v>
      </c>
      <c r="BN17" s="1" t="b">
        <v>1</v>
      </c>
      <c r="BW17" s="1" t="str">
        <v>O</v>
      </c>
      <c r="BY17" s="1" t="str">
        <v>O</v>
      </c>
      <c r="BZ17" s="1">
        <v>16</v>
      </c>
      <c r="CA17" s="1">
        <v>16</v>
      </c>
      <c r="CC17" s="1" t="b">
        <v>0</v>
      </c>
      <c r="CE17" s="1" t="str">
        <v>O</v>
      </c>
    </row>
    <row r="18" spans="9:83" x14ac:dyDescent="0.25">
      <c r="I18" s="1" t="str">
        <v>Q</v>
      </c>
      <c r="J18" s="1">
        <v>18</v>
      </c>
      <c r="K18" s="1">
        <v>18</v>
      </c>
      <c r="L18" s="1" t="b">
        <v>1</v>
      </c>
      <c r="U18" s="1" t="str">
        <v>V</v>
      </c>
      <c r="V18" s="1">
        <v>23</v>
      </c>
      <c r="W18" s="1">
        <v>23</v>
      </c>
      <c r="X18" s="1" t="b">
        <v>1</v>
      </c>
      <c r="AI18" s="52" t="str">
        <v>P</v>
      </c>
      <c r="AJ18" s="52">
        <v>17</v>
      </c>
      <c r="AK18" s="52"/>
      <c r="AL18" s="52"/>
      <c r="BL18" s="1">
        <v>27</v>
      </c>
      <c r="BM18" s="1">
        <v>27</v>
      </c>
      <c r="BN18" s="1" t="b">
        <v>1</v>
      </c>
      <c r="BW18" s="1" t="str">
        <v>P</v>
      </c>
      <c r="BY18" s="1" t="str">
        <v>P</v>
      </c>
      <c r="BZ18" s="1">
        <v>17</v>
      </c>
      <c r="CA18" s="1">
        <v>17</v>
      </c>
      <c r="CC18" s="1" t="str">
        <v>E</v>
      </c>
      <c r="CE18" s="1" t="str">
        <v>P</v>
      </c>
    </row>
    <row r="19" spans="9:83" x14ac:dyDescent="0.25">
      <c r="I19" s="1" t="str">
        <v>R</v>
      </c>
      <c r="J19" s="1">
        <v>19</v>
      </c>
      <c r="K19" s="1">
        <v>19</v>
      </c>
      <c r="L19" s="1" t="b">
        <v>1</v>
      </c>
      <c r="U19" s="1" t="str">
        <v>V</v>
      </c>
      <c r="V19" s="1">
        <v>23</v>
      </c>
      <c r="W19" s="1">
        <v>50</v>
      </c>
      <c r="X19" s="1" t="b">
        <v>1</v>
      </c>
      <c r="AI19" s="52" t="str">
        <v>Q</v>
      </c>
      <c r="AJ19" s="52">
        <v>18</v>
      </c>
      <c r="AK19" s="52"/>
      <c r="AL19" s="52"/>
      <c r="BL19" s="1">
        <v>1</v>
      </c>
      <c r="BM19" s="1">
        <v>28</v>
      </c>
      <c r="BN19" s="1" t="b">
        <v>0</v>
      </c>
      <c r="BW19" s="1" t="str">
        <v>Q</v>
      </c>
      <c r="BY19" s="1" t="str">
        <v>Q</v>
      </c>
      <c r="BZ19" s="1">
        <v>18</v>
      </c>
      <c r="CA19" s="1">
        <v>18</v>
      </c>
      <c r="CC19" s="1">
        <v>5</v>
      </c>
      <c r="CE19" s="1" t="str">
        <v>Q</v>
      </c>
    </row>
    <row r="20" spans="9:83" x14ac:dyDescent="0.25">
      <c r="I20" s="1" t="str">
        <v>S</v>
      </c>
      <c r="J20" s="1">
        <v>20</v>
      </c>
      <c r="K20" s="1">
        <v>20</v>
      </c>
      <c r="L20" s="1" t="b">
        <v>1</v>
      </c>
      <c r="U20" s="1" t="str">
        <v>W</v>
      </c>
      <c r="V20" s="1">
        <v>24</v>
      </c>
      <c r="W20" s="1">
        <v>24</v>
      </c>
      <c r="X20" s="1" t="b">
        <v>1</v>
      </c>
      <c r="AI20" s="52" t="str">
        <v>R</v>
      </c>
      <c r="AJ20" s="52">
        <v>19</v>
      </c>
      <c r="AK20" s="52"/>
      <c r="AL20" s="52"/>
      <c r="BL20" s="1">
        <v>2</v>
      </c>
      <c r="BM20" s="1">
        <v>29</v>
      </c>
      <c r="BN20" s="1" t="b">
        <v>0</v>
      </c>
      <c r="BW20" s="1" t="str">
        <v>R</v>
      </c>
      <c r="BY20" s="1" t="str">
        <v>R</v>
      </c>
      <c r="BZ20" s="1">
        <v>19</v>
      </c>
      <c r="CA20" s="1">
        <v>19</v>
      </c>
      <c r="CC20" s="1">
        <v>5</v>
      </c>
      <c r="CE20" s="1" t="str">
        <v>R</v>
      </c>
    </row>
    <row r="21" spans="9:83" x14ac:dyDescent="0.25">
      <c r="I21" s="1" t="str">
        <v>T</v>
      </c>
      <c r="J21" s="1">
        <v>21</v>
      </c>
      <c r="K21" s="1">
        <v>21</v>
      </c>
      <c r="L21" s="1" t="b">
        <v>1</v>
      </c>
      <c r="U21" s="1" t="str">
        <v>W</v>
      </c>
      <c r="V21" s="1">
        <v>24</v>
      </c>
      <c r="W21" s="1">
        <v>51</v>
      </c>
      <c r="X21" s="1" t="b">
        <v>1</v>
      </c>
      <c r="AI21" s="52" t="str">
        <v>S</v>
      </c>
      <c r="AJ21" s="52">
        <v>20</v>
      </c>
      <c r="AK21" s="52"/>
      <c r="AL21" s="52"/>
      <c r="BL21" s="1">
        <v>3</v>
      </c>
      <c r="BM21" s="1">
        <v>30</v>
      </c>
      <c r="BN21" s="1" t="b">
        <v>0</v>
      </c>
      <c r="BW21" s="1" t="str">
        <v>S</v>
      </c>
      <c r="BY21" s="1" t="str">
        <v>S</v>
      </c>
      <c r="BZ21" s="1">
        <v>20</v>
      </c>
      <c r="CA21" s="1">
        <v>20</v>
      </c>
      <c r="CC21" s="1" t="b">
        <v>0</v>
      </c>
      <c r="CE21" s="1" t="str">
        <v>S</v>
      </c>
    </row>
    <row r="22" spans="9:83" x14ac:dyDescent="0.25">
      <c r="I22" s="1" t="str">
        <v>U</v>
      </c>
      <c r="J22" s="1">
        <v>22</v>
      </c>
      <c r="K22" s="1">
        <v>22</v>
      </c>
      <c r="L22" s="1" t="b">
        <v>1</v>
      </c>
      <c r="U22" s="1" t="str">
        <v>X</v>
      </c>
      <c r="V22" s="1">
        <v>25</v>
      </c>
      <c r="W22" s="1">
        <v>25</v>
      </c>
      <c r="X22" s="1" t="b">
        <v>1</v>
      </c>
      <c r="AI22" s="52" t="str">
        <v>T</v>
      </c>
      <c r="AJ22" s="52">
        <v>21</v>
      </c>
      <c r="AK22" s="52"/>
      <c r="AL22" s="52"/>
      <c r="BL22" s="1">
        <v>4</v>
      </c>
      <c r="BM22" s="1">
        <v>31</v>
      </c>
      <c r="BN22" s="1" t="b">
        <v>0</v>
      </c>
      <c r="BW22" s="1" t="str">
        <v>T</v>
      </c>
      <c r="BY22" s="1" t="str">
        <v>T</v>
      </c>
      <c r="BZ22" s="1">
        <v>21</v>
      </c>
      <c r="CA22" s="1">
        <v>21</v>
      </c>
      <c r="CC22" s="1" t="str">
        <v>F</v>
      </c>
      <c r="CE22" s="1" t="str">
        <v>T</v>
      </c>
    </row>
    <row r="23" spans="9:83" x14ac:dyDescent="0.25">
      <c r="I23" s="1" t="str">
        <v>V</v>
      </c>
      <c r="J23" s="1">
        <v>23</v>
      </c>
      <c r="K23" s="1">
        <v>23</v>
      </c>
      <c r="L23" s="1" t="b">
        <v>1</v>
      </c>
      <c r="U23" s="1" t="str">
        <v>X</v>
      </c>
      <c r="V23" s="1">
        <v>25</v>
      </c>
      <c r="W23" s="1">
        <v>52</v>
      </c>
      <c r="X23" s="1" t="b">
        <v>1</v>
      </c>
      <c r="AI23" s="52" t="str">
        <v>U</v>
      </c>
      <c r="AJ23" s="52">
        <v>22</v>
      </c>
      <c r="AK23" s="52"/>
      <c r="AL23" s="52"/>
      <c r="BL23" s="1">
        <v>5</v>
      </c>
      <c r="BM23" s="1">
        <v>32</v>
      </c>
      <c r="BN23" s="1" t="b">
        <v>0</v>
      </c>
      <c r="BW23" s="1" t="str">
        <v>U</v>
      </c>
      <c r="BY23" s="1" t="str">
        <v>U</v>
      </c>
      <c r="BZ23" s="1">
        <v>22</v>
      </c>
      <c r="CA23" s="1">
        <v>22</v>
      </c>
      <c r="CC23" s="1">
        <v>6</v>
      </c>
      <c r="CE23" s="1" t="str">
        <v>U</v>
      </c>
    </row>
    <row r="24" spans="9:83" x14ac:dyDescent="0.25">
      <c r="I24" s="1" t="str">
        <v>W</v>
      </c>
      <c r="J24" s="1">
        <v>24</v>
      </c>
      <c r="K24" s="1">
        <v>24</v>
      </c>
      <c r="L24" s="1" t="b">
        <v>1</v>
      </c>
      <c r="U24" s="1" t="str">
        <v>Y</v>
      </c>
      <c r="V24" s="1">
        <v>26</v>
      </c>
      <c r="W24" s="1">
        <v>26</v>
      </c>
      <c r="X24" s="1" t="b">
        <v>1</v>
      </c>
      <c r="AI24" s="52" t="str">
        <v>V</v>
      </c>
      <c r="AJ24" s="52">
        <v>23</v>
      </c>
      <c r="AK24" s="52"/>
      <c r="AL24" s="52"/>
      <c r="BL24" s="1">
        <v>6</v>
      </c>
      <c r="BM24" s="1">
        <v>33</v>
      </c>
      <c r="BN24" s="1" t="b">
        <v>0</v>
      </c>
      <c r="BW24" s="1" t="str">
        <v>V</v>
      </c>
      <c r="BY24" s="1" t="str">
        <v>V</v>
      </c>
      <c r="BZ24" s="1">
        <v>23</v>
      </c>
      <c r="CA24" s="1">
        <v>23</v>
      </c>
      <c r="CC24" s="1">
        <v>6</v>
      </c>
      <c r="CE24" s="1" t="str">
        <v>V</v>
      </c>
    </row>
    <row r="25" spans="9:83" x14ac:dyDescent="0.25">
      <c r="I25" s="1" t="str">
        <v>X</v>
      </c>
      <c r="J25" s="1">
        <v>25</v>
      </c>
      <c r="K25" s="1">
        <v>25</v>
      </c>
      <c r="L25" s="1" t="b">
        <v>1</v>
      </c>
      <c r="U25" s="1" t="str">
        <v>Y</v>
      </c>
      <c r="V25" s="1">
        <v>26</v>
      </c>
      <c r="W25" s="1">
        <v>53</v>
      </c>
      <c r="X25" s="1" t="b">
        <v>1</v>
      </c>
      <c r="AI25" s="52" t="str">
        <v>W</v>
      </c>
      <c r="AJ25" s="52">
        <v>24</v>
      </c>
      <c r="AK25" s="52"/>
      <c r="AL25" s="52"/>
      <c r="BL25" s="1">
        <v>7</v>
      </c>
      <c r="BM25" s="1">
        <v>34</v>
      </c>
      <c r="BN25" s="1" t="b">
        <v>0</v>
      </c>
      <c r="BW25" s="1" t="str">
        <v>W</v>
      </c>
      <c r="BY25" s="1" t="str">
        <v>W</v>
      </c>
      <c r="BZ25" s="1">
        <v>24</v>
      </c>
      <c r="CA25" s="1">
        <v>24</v>
      </c>
      <c r="CC25" s="1" t="b">
        <v>0</v>
      </c>
      <c r="CE25" s="1" t="str">
        <v>W</v>
      </c>
    </row>
    <row r="26" spans="9:83" x14ac:dyDescent="0.25">
      <c r="I26" s="1" t="str">
        <v>Y</v>
      </c>
      <c r="J26" s="1">
        <v>26</v>
      </c>
      <c r="K26" s="1">
        <v>26</v>
      </c>
      <c r="L26" s="1" t="b">
        <v>1</v>
      </c>
      <c r="U26" s="1" t="str">
        <v>Z</v>
      </c>
      <c r="V26" s="1">
        <v>27</v>
      </c>
      <c r="W26" s="1">
        <v>27</v>
      </c>
      <c r="X26" s="1" t="b">
        <v>1</v>
      </c>
      <c r="AI26" s="52" t="str">
        <v>X</v>
      </c>
      <c r="AJ26" s="52">
        <v>25</v>
      </c>
      <c r="AK26" s="52"/>
      <c r="AL26" s="52"/>
      <c r="BL26" s="1">
        <v>8</v>
      </c>
      <c r="BM26" s="1">
        <v>35</v>
      </c>
      <c r="BN26" s="1" t="b">
        <v>0</v>
      </c>
      <c r="BW26" s="1" t="str">
        <v>X</v>
      </c>
      <c r="BY26" s="1" t="str">
        <v>X</v>
      </c>
      <c r="BZ26" s="1">
        <v>25</v>
      </c>
      <c r="CA26" s="1">
        <v>25</v>
      </c>
      <c r="CC26" s="1" t="str">
        <v>G</v>
      </c>
      <c r="CE26" s="1" t="str">
        <v>X</v>
      </c>
    </row>
    <row r="27" spans="9:83" x14ac:dyDescent="0.25">
      <c r="I27" s="1" t="str">
        <v>Z</v>
      </c>
      <c r="J27" s="1">
        <v>27</v>
      </c>
      <c r="K27" s="1">
        <v>27</v>
      </c>
      <c r="L27" s="1" t="b">
        <v>1</v>
      </c>
      <c r="U27" s="1" t="str">
        <v>Z</v>
      </c>
      <c r="V27" s="1">
        <v>27</v>
      </c>
      <c r="W27" s="1">
        <v>54</v>
      </c>
      <c r="X27" s="1" t="b">
        <v>1</v>
      </c>
      <c r="AI27" s="52" t="str">
        <v>Y</v>
      </c>
      <c r="AJ27" s="52">
        <v>26</v>
      </c>
      <c r="AK27" s="52"/>
      <c r="AL27" s="52"/>
      <c r="BL27" s="1">
        <v>9</v>
      </c>
      <c r="BM27" s="1">
        <v>36</v>
      </c>
      <c r="BN27" s="1" t="b">
        <v>0</v>
      </c>
      <c r="BW27" s="1" t="str">
        <v>Y</v>
      </c>
      <c r="BY27" s="1" t="str">
        <v>Y</v>
      </c>
      <c r="BZ27" s="1">
        <v>26</v>
      </c>
      <c r="CA27" s="1">
        <v>26</v>
      </c>
      <c r="CC27" s="1">
        <v>7</v>
      </c>
      <c r="CE27" s="1" t="str">
        <v>Y</v>
      </c>
    </row>
    <row r="28" spans="9:83" x14ac:dyDescent="0.25">
      <c r="I28" s="1" t="str">
        <v>B</v>
      </c>
      <c r="J28" s="1">
        <v>2</v>
      </c>
      <c r="K28" s="1">
        <v>29</v>
      </c>
      <c r="L28" s="1" t="b">
        <v>0</v>
      </c>
      <c r="U28" s="1" t="str">
        <v>A</v>
      </c>
      <c r="V28" s="1">
        <v>1</v>
      </c>
      <c r="W28" s="1">
        <v>1</v>
      </c>
      <c r="X28" s="1" t="b">
        <v>0</v>
      </c>
      <c r="AI28" s="52" t="str">
        <v>Z</v>
      </c>
      <c r="AJ28" s="52">
        <v>27</v>
      </c>
      <c r="AK28" s="52"/>
      <c r="AL28" s="52"/>
      <c r="BL28" s="1">
        <v>10</v>
      </c>
      <c r="BM28" s="1">
        <v>37</v>
      </c>
      <c r="BN28" s="1" t="b">
        <v>0</v>
      </c>
      <c r="BW28" s="1" t="str">
        <v>Z</v>
      </c>
      <c r="BY28" s="1" t="str">
        <v>Z</v>
      </c>
      <c r="BZ28" s="1">
        <v>27</v>
      </c>
      <c r="CA28" s="1">
        <v>27</v>
      </c>
      <c r="CC28" s="1">
        <v>7</v>
      </c>
      <c r="CE28" s="1" t="str">
        <v>Z</v>
      </c>
    </row>
    <row r="29" spans="9:83" x14ac:dyDescent="0.25">
      <c r="I29" s="1" t="str">
        <v>C</v>
      </c>
      <c r="J29" s="1">
        <v>3</v>
      </c>
      <c r="K29" s="1">
        <v>30</v>
      </c>
      <c r="L29" s="1" t="b">
        <v>0</v>
      </c>
      <c r="U29" s="1" t="str">
        <v>A</v>
      </c>
      <c r="V29" s="1">
        <v>1</v>
      </c>
      <c r="W29" s="1">
        <v>28</v>
      </c>
      <c r="X29" s="1" t="b">
        <v>0</v>
      </c>
      <c r="AI29" s="52"/>
      <c r="AJ29" s="52"/>
      <c r="AK29" s="52"/>
      <c r="AL29" s="52"/>
      <c r="BL29" s="1">
        <v>11</v>
      </c>
      <c r="BM29" s="1">
        <v>38</v>
      </c>
      <c r="BN29" s="1" t="b">
        <v>0</v>
      </c>
      <c r="BW29" s="1" t="str">
        <v>A</v>
      </c>
      <c r="BY29" s="1" t="str">
        <v>A</v>
      </c>
      <c r="BZ29" s="1">
        <v>28</v>
      </c>
      <c r="CA29" s="1">
        <v>1</v>
      </c>
      <c r="CC29" s="1" t="b">
        <v>0</v>
      </c>
      <c r="CE29" s="1" t="str">
        <v>A</v>
      </c>
    </row>
    <row r="30" spans="9:83" x14ac:dyDescent="0.25">
      <c r="I30" s="1" t="str">
        <v>D</v>
      </c>
      <c r="J30" s="1">
        <v>4</v>
      </c>
      <c r="K30" s="1">
        <v>31</v>
      </c>
      <c r="L30" s="1" t="b">
        <v>0</v>
      </c>
      <c r="U30" s="1" t="str">
        <v>B</v>
      </c>
      <c r="V30" s="1">
        <v>2</v>
      </c>
      <c r="W30" s="1">
        <v>2</v>
      </c>
      <c r="X30" s="1" t="b">
        <v>0</v>
      </c>
      <c r="AI30" s="52"/>
      <c r="AJ30" s="52"/>
      <c r="AK30" s="52"/>
      <c r="AL30" s="52"/>
      <c r="BL30" s="1">
        <v>12</v>
      </c>
      <c r="BM30" s="1">
        <v>39</v>
      </c>
      <c r="BN30" s="1" t="b">
        <v>0</v>
      </c>
      <c r="BW30" s="1" t="str">
        <v>B</v>
      </c>
      <c r="BY30" s="1" t="str">
        <v>B</v>
      </c>
      <c r="BZ30" s="1">
        <v>29</v>
      </c>
      <c r="CA30" s="1">
        <v>2</v>
      </c>
      <c r="CC30" s="1" t="str">
        <v>H</v>
      </c>
      <c r="CE30" s="1" t="str">
        <v>B</v>
      </c>
    </row>
    <row r="31" spans="9:83" x14ac:dyDescent="0.25">
      <c r="I31" s="1" t="str">
        <v>E</v>
      </c>
      <c r="J31" s="1">
        <v>5</v>
      </c>
      <c r="K31" s="1">
        <v>32</v>
      </c>
      <c r="L31" s="1" t="b">
        <v>0</v>
      </c>
      <c r="U31" s="1" t="str">
        <v>B</v>
      </c>
      <c r="V31" s="1">
        <v>2</v>
      </c>
      <c r="W31" s="1">
        <v>29</v>
      </c>
      <c r="X31" s="1" t="b">
        <v>0</v>
      </c>
      <c r="AI31" s="52"/>
      <c r="AJ31" s="52"/>
      <c r="AK31" s="52"/>
      <c r="AL31" s="52"/>
      <c r="BL31" s="1">
        <v>13</v>
      </c>
      <c r="BM31" s="1">
        <v>40</v>
      </c>
      <c r="BN31" s="1" t="b">
        <v>0</v>
      </c>
      <c r="BW31" s="1" t="str">
        <v>C</v>
      </c>
      <c r="BY31" s="1" t="str">
        <v>C</v>
      </c>
      <c r="BZ31" s="1">
        <v>30</v>
      </c>
      <c r="CA31" s="1">
        <v>3</v>
      </c>
      <c r="CC31" s="1">
        <v>8</v>
      </c>
      <c r="CE31" s="1" t="str">
        <v>C</v>
      </c>
    </row>
    <row r="32" spans="9:83" x14ac:dyDescent="0.25">
      <c r="I32" s="1" t="str">
        <v>F</v>
      </c>
      <c r="J32" s="1">
        <v>6</v>
      </c>
      <c r="K32" s="1">
        <v>33</v>
      </c>
      <c r="L32" s="1" t="b">
        <v>0</v>
      </c>
      <c r="U32" s="1" t="str">
        <v>C</v>
      </c>
      <c r="V32" s="1">
        <v>3</v>
      </c>
      <c r="W32" s="1">
        <v>3</v>
      </c>
      <c r="X32" s="1" t="b">
        <v>0</v>
      </c>
      <c r="AI32" s="52"/>
      <c r="AJ32" s="52"/>
      <c r="AK32" s="52"/>
      <c r="AL32" s="52"/>
      <c r="BL32" s="1">
        <v>14</v>
      </c>
      <c r="BM32" s="1">
        <v>41</v>
      </c>
      <c r="BN32" s="1" t="b">
        <v>0</v>
      </c>
      <c r="BW32" s="1" t="str">
        <v>D</v>
      </c>
      <c r="BY32" s="1" t="str">
        <v>D</v>
      </c>
      <c r="BZ32" s="1">
        <v>31</v>
      </c>
      <c r="CA32" s="1">
        <v>4</v>
      </c>
      <c r="CC32" s="1">
        <v>8</v>
      </c>
      <c r="CE32" s="1" t="str">
        <v>D</v>
      </c>
    </row>
    <row r="33" spans="9:83" x14ac:dyDescent="0.25">
      <c r="I33" s="1" t="str">
        <v>G</v>
      </c>
      <c r="J33" s="1">
        <v>7</v>
      </c>
      <c r="K33" s="1">
        <v>34</v>
      </c>
      <c r="L33" s="1" t="b">
        <v>0</v>
      </c>
      <c r="U33" s="1" t="str">
        <v>C</v>
      </c>
      <c r="V33" s="1">
        <v>3</v>
      </c>
      <c r="W33" s="1">
        <v>30</v>
      </c>
      <c r="X33" s="1" t="b">
        <v>0</v>
      </c>
      <c r="AI33" s="52"/>
      <c r="AJ33" s="52"/>
      <c r="AK33" s="52"/>
      <c r="AL33" s="52"/>
      <c r="BL33" s="1">
        <v>15</v>
      </c>
      <c r="BM33" s="1">
        <v>42</v>
      </c>
      <c r="BN33" s="1" t="b">
        <v>1</v>
      </c>
      <c r="BW33" s="1" t="str">
        <v>E</v>
      </c>
      <c r="BY33" s="1" t="str">
        <v>E</v>
      </c>
      <c r="BZ33" s="1">
        <v>32</v>
      </c>
      <c r="CA33" s="1">
        <v>5</v>
      </c>
      <c r="CC33" s="1" t="b">
        <v>0</v>
      </c>
      <c r="CE33" s="1" t="str">
        <v>E</v>
      </c>
    </row>
    <row r="34" spans="9:83" x14ac:dyDescent="0.25">
      <c r="I34" s="1" t="str">
        <v>H</v>
      </c>
      <c r="J34" s="1">
        <v>8</v>
      </c>
      <c r="K34" s="1">
        <v>35</v>
      </c>
      <c r="L34" s="1" t="b">
        <v>0</v>
      </c>
      <c r="U34" s="1" t="str">
        <v>D</v>
      </c>
      <c r="V34" s="1">
        <v>4</v>
      </c>
      <c r="W34" s="1">
        <v>4</v>
      </c>
      <c r="X34" s="1" t="b">
        <v>0</v>
      </c>
      <c r="AI34" s="52"/>
      <c r="AJ34" s="52"/>
      <c r="AK34" s="52"/>
      <c r="AL34" s="52"/>
      <c r="BL34" s="1">
        <v>16</v>
      </c>
      <c r="BM34" s="1">
        <v>43</v>
      </c>
      <c r="BN34" s="1" t="b">
        <v>1</v>
      </c>
      <c r="BW34" s="1" t="str">
        <v>F</v>
      </c>
      <c r="BY34" s="1" t="str">
        <v>F</v>
      </c>
      <c r="BZ34" s="1">
        <v>33</v>
      </c>
      <c r="CA34" s="1">
        <v>6</v>
      </c>
      <c r="CC34" s="1" t="str">
        <v>I</v>
      </c>
      <c r="CE34" s="1" t="str">
        <v>F</v>
      </c>
    </row>
    <row r="35" spans="9:83" x14ac:dyDescent="0.25">
      <c r="I35" s="1" t="str">
        <v>I</v>
      </c>
      <c r="J35" s="1">
        <v>9</v>
      </c>
      <c r="K35" s="1">
        <v>36</v>
      </c>
      <c r="L35" s="1" t="b">
        <v>0</v>
      </c>
      <c r="U35" s="1" t="str">
        <v>D</v>
      </c>
      <c r="V35" s="1">
        <v>4</v>
      </c>
      <c r="W35" s="1">
        <v>31</v>
      </c>
      <c r="X35" s="1" t="b">
        <v>0</v>
      </c>
      <c r="AI35" s="52"/>
      <c r="AJ35" s="52"/>
      <c r="AK35" s="52"/>
      <c r="AL35" s="52"/>
      <c r="BL35" s="1">
        <v>17</v>
      </c>
      <c r="BM35" s="1">
        <v>44</v>
      </c>
      <c r="BN35" s="1" t="b">
        <v>1</v>
      </c>
      <c r="BW35" s="1" t="str">
        <v>G</v>
      </c>
      <c r="BY35" s="1" t="str">
        <v>G</v>
      </c>
      <c r="BZ35" s="1">
        <v>34</v>
      </c>
      <c r="CA35" s="1">
        <v>7</v>
      </c>
      <c r="CC35" s="1">
        <v>9</v>
      </c>
      <c r="CE35" s="1" t="str">
        <v>G</v>
      </c>
    </row>
    <row r="36" spans="9:83" x14ac:dyDescent="0.25">
      <c r="I36" s="1" t="str">
        <v>J</v>
      </c>
      <c r="J36" s="1">
        <v>10</v>
      </c>
      <c r="K36" s="1">
        <v>37</v>
      </c>
      <c r="L36" s="1" t="b">
        <v>0</v>
      </c>
      <c r="U36" s="1" t="str">
        <v>E</v>
      </c>
      <c r="V36" s="1">
        <v>5</v>
      </c>
      <c r="W36" s="1">
        <v>5</v>
      </c>
      <c r="X36" s="1" t="b">
        <v>0</v>
      </c>
      <c r="AI36" s="52"/>
      <c r="AJ36" s="52"/>
      <c r="AK36" s="52"/>
      <c r="AL36" s="52"/>
      <c r="BL36" s="1">
        <v>18</v>
      </c>
      <c r="BM36" s="1">
        <v>45</v>
      </c>
      <c r="BN36" s="1" t="b">
        <v>1</v>
      </c>
      <c r="BW36" s="1" t="str">
        <v>H</v>
      </c>
      <c r="BY36" s="1" t="str">
        <v>H</v>
      </c>
      <c r="BZ36" s="1">
        <v>35</v>
      </c>
      <c r="CA36" s="1">
        <v>8</v>
      </c>
      <c r="CC36" s="1">
        <v>9</v>
      </c>
      <c r="CE36" s="1" t="str">
        <v>H</v>
      </c>
    </row>
    <row r="37" spans="9:83" x14ac:dyDescent="0.25">
      <c r="I37" s="1" t="str">
        <v>K</v>
      </c>
      <c r="J37" s="1">
        <v>11</v>
      </c>
      <c r="K37" s="1">
        <v>38</v>
      </c>
      <c r="L37" s="1" t="b">
        <v>0</v>
      </c>
      <c r="U37" s="1" t="str">
        <v>E</v>
      </c>
      <c r="V37" s="1">
        <v>5</v>
      </c>
      <c r="W37" s="1">
        <v>32</v>
      </c>
      <c r="X37" s="1" t="b">
        <v>0</v>
      </c>
      <c r="AI37" s="52"/>
      <c r="AJ37" s="52"/>
      <c r="AK37" s="52"/>
      <c r="AL37" s="52"/>
      <c r="BL37" s="1">
        <v>19</v>
      </c>
      <c r="BM37" s="1">
        <v>46</v>
      </c>
      <c r="BN37" s="1" t="b">
        <v>1</v>
      </c>
      <c r="BW37" s="1" t="str">
        <v>I</v>
      </c>
      <c r="BY37" s="1" t="str">
        <v>I</v>
      </c>
      <c r="BZ37" s="1">
        <v>36</v>
      </c>
      <c r="CA37" s="1">
        <v>9</v>
      </c>
      <c r="CC37" s="1" t="b">
        <v>0</v>
      </c>
      <c r="CE37" s="1" t="str">
        <v>I</v>
      </c>
    </row>
    <row r="38" spans="9:83" x14ac:dyDescent="0.25">
      <c r="I38" s="1" t="str">
        <v>L</v>
      </c>
      <c r="J38" s="1">
        <v>12</v>
      </c>
      <c r="K38" s="1">
        <v>39</v>
      </c>
      <c r="L38" s="1" t="b">
        <v>0</v>
      </c>
      <c r="U38" s="1" t="str">
        <v>F</v>
      </c>
      <c r="V38" s="1">
        <v>6</v>
      </c>
      <c r="W38" s="1">
        <v>6</v>
      </c>
      <c r="X38" s="1" t="b">
        <v>0</v>
      </c>
      <c r="AI38" s="52"/>
      <c r="AJ38" s="52"/>
      <c r="AK38" s="52"/>
      <c r="AL38" s="52"/>
      <c r="BL38" s="1">
        <v>20</v>
      </c>
      <c r="BM38" s="1">
        <v>47</v>
      </c>
      <c r="BN38" s="1" t="b">
        <v>1</v>
      </c>
      <c r="BW38" s="1" t="str">
        <v>J</v>
      </c>
      <c r="BY38" s="1" t="str">
        <v>J</v>
      </c>
      <c r="BZ38" s="1">
        <v>37</v>
      </c>
      <c r="CA38" s="1">
        <v>10</v>
      </c>
      <c r="CC38" s="1" t="str">
        <v>J</v>
      </c>
      <c r="CE38" s="1" t="str">
        <v>J</v>
      </c>
    </row>
    <row r="39" spans="9:83" x14ac:dyDescent="0.25">
      <c r="I39" s="1" t="str">
        <v>M</v>
      </c>
      <c r="J39" s="1">
        <v>13</v>
      </c>
      <c r="K39" s="1">
        <v>40</v>
      </c>
      <c r="L39" s="1" t="b">
        <v>0</v>
      </c>
      <c r="U39" s="1" t="str">
        <v>F</v>
      </c>
      <c r="V39" s="1">
        <v>6</v>
      </c>
      <c r="W39" s="1">
        <v>33</v>
      </c>
      <c r="X39" s="1" t="b">
        <v>0</v>
      </c>
      <c r="AI39" s="52"/>
      <c r="AJ39" s="52"/>
      <c r="AK39" s="52"/>
      <c r="AL39" s="52"/>
      <c r="BL39" s="1">
        <v>21</v>
      </c>
      <c r="BM39" s="1">
        <v>48</v>
      </c>
      <c r="BN39" s="1" t="b">
        <v>1</v>
      </c>
      <c r="BW39" s="1" t="str">
        <v>K</v>
      </c>
      <c r="BY39" s="1" t="str">
        <v>K</v>
      </c>
      <c r="BZ39" s="1">
        <v>38</v>
      </c>
      <c r="CA39" s="1">
        <v>11</v>
      </c>
      <c r="CC39" s="1">
        <v>10</v>
      </c>
      <c r="CE39" s="1" t="str">
        <v>K</v>
      </c>
    </row>
    <row r="40" spans="9:83" x14ac:dyDescent="0.25">
      <c r="I40" s="1" t="str">
        <v>N</v>
      </c>
      <c r="J40" s="1">
        <v>14</v>
      </c>
      <c r="K40" s="1">
        <v>41</v>
      </c>
      <c r="L40" s="1" t="b">
        <v>0</v>
      </c>
      <c r="U40" s="1" t="str">
        <v>G</v>
      </c>
      <c r="V40" s="1">
        <v>7</v>
      </c>
      <c r="W40" s="1">
        <v>7</v>
      </c>
      <c r="X40" s="1" t="b">
        <v>0</v>
      </c>
      <c r="AI40" s="52"/>
      <c r="AJ40" s="52"/>
      <c r="AK40" s="52"/>
      <c r="AL40" s="52"/>
      <c r="BL40" s="1">
        <v>22</v>
      </c>
      <c r="BM40" s="1">
        <v>49</v>
      </c>
      <c r="BN40" s="1" t="b">
        <v>1</v>
      </c>
      <c r="BW40" s="1" t="str">
        <v>L</v>
      </c>
      <c r="BY40" s="1" t="str">
        <v>L</v>
      </c>
      <c r="BZ40" s="1">
        <v>39</v>
      </c>
      <c r="CA40" s="1">
        <v>12</v>
      </c>
      <c r="CC40" s="1">
        <v>10</v>
      </c>
      <c r="CE40" s="1" t="str">
        <v>L</v>
      </c>
    </row>
    <row r="41" spans="9:83" x14ac:dyDescent="0.25">
      <c r="I41" s="1" t="str">
        <v>Ñ</v>
      </c>
      <c r="J41" s="1">
        <v>15</v>
      </c>
      <c r="K41" s="1">
        <v>42</v>
      </c>
      <c r="L41" s="1" t="b">
        <v>1</v>
      </c>
      <c r="U41" s="1" t="str">
        <v>G</v>
      </c>
      <c r="V41" s="1">
        <v>7</v>
      </c>
      <c r="W41" s="1">
        <v>34</v>
      </c>
      <c r="X41" s="1" t="b">
        <v>0</v>
      </c>
      <c r="AI41" s="52"/>
      <c r="AJ41" s="52"/>
      <c r="AK41" s="52"/>
      <c r="AL41" s="52"/>
      <c r="BL41" s="1">
        <v>23</v>
      </c>
      <c r="BM41" s="1">
        <v>50</v>
      </c>
      <c r="BN41" s="1" t="b">
        <v>1</v>
      </c>
      <c r="BW41" s="1" t="str">
        <v>M</v>
      </c>
      <c r="BY41" s="1" t="str">
        <v>M</v>
      </c>
      <c r="BZ41" s="1">
        <v>40</v>
      </c>
      <c r="CA41" s="1">
        <v>13</v>
      </c>
      <c r="CC41" s="1" t="b">
        <v>0</v>
      </c>
      <c r="CE41" s="1" t="str">
        <v>M</v>
      </c>
    </row>
    <row r="42" spans="9:83" x14ac:dyDescent="0.25">
      <c r="I42" s="1" t="str">
        <v>O</v>
      </c>
      <c r="J42" s="1">
        <v>16</v>
      </c>
      <c r="K42" s="1">
        <v>43</v>
      </c>
      <c r="L42" s="1" t="b">
        <v>1</v>
      </c>
      <c r="U42" s="1" t="str">
        <v>H</v>
      </c>
      <c r="V42" s="1">
        <v>8</v>
      </c>
      <c r="W42" s="1">
        <v>8</v>
      </c>
      <c r="X42" s="1" t="b">
        <v>0</v>
      </c>
      <c r="AI42" s="52"/>
      <c r="AJ42" s="52"/>
      <c r="AK42" s="52"/>
      <c r="AL42" s="52"/>
      <c r="BL42" s="1">
        <v>24</v>
      </c>
      <c r="BM42" s="1">
        <v>51</v>
      </c>
      <c r="BN42" s="1" t="b">
        <v>1</v>
      </c>
      <c r="BW42" s="1" t="str">
        <v>N</v>
      </c>
      <c r="BY42" s="1" t="str">
        <v>N</v>
      </c>
      <c r="BZ42" s="1">
        <v>41</v>
      </c>
      <c r="CA42" s="1">
        <v>14</v>
      </c>
      <c r="CC42" s="1" t="str">
        <v>K</v>
      </c>
      <c r="CE42" s="1" t="str">
        <v>N</v>
      </c>
    </row>
    <row r="43" spans="9:83" x14ac:dyDescent="0.25">
      <c r="I43" s="1" t="str">
        <v>P</v>
      </c>
      <c r="J43" s="1">
        <v>17</v>
      </c>
      <c r="K43" s="1">
        <v>44</v>
      </c>
      <c r="L43" s="1" t="b">
        <v>1</v>
      </c>
      <c r="U43" s="1" t="str">
        <v>H</v>
      </c>
      <c r="V43" s="1">
        <v>8</v>
      </c>
      <c r="W43" s="1">
        <v>35</v>
      </c>
      <c r="X43" s="1" t="b">
        <v>0</v>
      </c>
      <c r="AI43" s="52"/>
      <c r="AJ43" s="52"/>
      <c r="AK43" s="52"/>
      <c r="AL43" s="52"/>
      <c r="BL43" s="1">
        <v>25</v>
      </c>
      <c r="BM43" s="1">
        <v>52</v>
      </c>
      <c r="BN43" s="1" t="b">
        <v>1</v>
      </c>
      <c r="BW43" s="1" t="str">
        <v>Ñ</v>
      </c>
      <c r="BY43" s="1" t="str">
        <v>Ñ</v>
      </c>
      <c r="BZ43" s="1">
        <v>42</v>
      </c>
      <c r="CA43" s="1">
        <v>15</v>
      </c>
      <c r="CC43" s="1">
        <v>11</v>
      </c>
      <c r="CE43" s="1" t="str">
        <v>Ñ</v>
      </c>
    </row>
    <row r="44" spans="9:83" x14ac:dyDescent="0.25">
      <c r="I44" s="1" t="str">
        <v>Q</v>
      </c>
      <c r="J44" s="1">
        <v>18</v>
      </c>
      <c r="K44" s="1">
        <v>45</v>
      </c>
      <c r="L44" s="1" t="b">
        <v>1</v>
      </c>
      <c r="U44" s="1" t="str">
        <v>I</v>
      </c>
      <c r="V44" s="1">
        <v>9</v>
      </c>
      <c r="W44" s="1">
        <v>9</v>
      </c>
      <c r="X44" s="1" t="b">
        <v>0</v>
      </c>
      <c r="AI44" s="52"/>
      <c r="AJ44" s="52"/>
      <c r="AK44" s="52"/>
      <c r="AL44" s="52"/>
      <c r="BL44" s="1">
        <v>26</v>
      </c>
      <c r="BM44" s="1">
        <v>53</v>
      </c>
      <c r="BN44" s="1" t="b">
        <v>1</v>
      </c>
      <c r="BW44" s="1" t="str">
        <v>O</v>
      </c>
      <c r="BY44" s="1" t="str">
        <v>O</v>
      </c>
      <c r="BZ44" s="1">
        <v>43</v>
      </c>
      <c r="CA44" s="1">
        <v>16</v>
      </c>
      <c r="CC44" s="1">
        <v>11</v>
      </c>
      <c r="CE44" s="1" t="str">
        <v>O</v>
      </c>
    </row>
    <row r="45" spans="9:83" x14ac:dyDescent="0.25">
      <c r="I45" s="1" t="str">
        <v>R</v>
      </c>
      <c r="J45" s="1">
        <v>19</v>
      </c>
      <c r="K45" s="1">
        <v>46</v>
      </c>
      <c r="L45" s="1" t="b">
        <v>1</v>
      </c>
      <c r="U45" s="1" t="str">
        <v>I</v>
      </c>
      <c r="V45" s="1">
        <v>9</v>
      </c>
      <c r="W45" s="1">
        <v>36</v>
      </c>
      <c r="X45" s="1" t="b">
        <v>0</v>
      </c>
      <c r="AI45" s="52"/>
      <c r="AJ45" s="52"/>
      <c r="AK45" s="52"/>
      <c r="AL45" s="52"/>
      <c r="BL45" s="1">
        <v>27</v>
      </c>
      <c r="BM45" s="1">
        <v>54</v>
      </c>
      <c r="BN45" s="1" t="b">
        <v>1</v>
      </c>
      <c r="BW45" s="1" t="str">
        <v>P</v>
      </c>
      <c r="BY45" s="1" t="str">
        <v>P</v>
      </c>
      <c r="BZ45" s="1">
        <v>44</v>
      </c>
      <c r="CA45" s="1">
        <v>17</v>
      </c>
      <c r="CC45" s="1" t="b">
        <v>0</v>
      </c>
      <c r="CE45" s="1" t="str">
        <v>P</v>
      </c>
    </row>
    <row r="46" spans="9:83" x14ac:dyDescent="0.25">
      <c r="I46" s="1" t="str">
        <v>S</v>
      </c>
      <c r="J46" s="1">
        <v>20</v>
      </c>
      <c r="K46" s="1">
        <v>47</v>
      </c>
      <c r="L46" s="1" t="b">
        <v>1</v>
      </c>
      <c r="U46" s="1" t="str">
        <v>J</v>
      </c>
      <c r="V46" s="1">
        <v>10</v>
      </c>
      <c r="W46" s="1">
        <v>10</v>
      </c>
      <c r="X46" s="1" t="b">
        <v>0</v>
      </c>
      <c r="AI46" s="52"/>
      <c r="AJ46" s="52"/>
      <c r="AK46" s="52"/>
      <c r="AL46" s="52"/>
      <c r="BW46" s="1" t="str">
        <v>Q</v>
      </c>
      <c r="BY46" s="1" t="str">
        <v>Q</v>
      </c>
      <c r="BZ46" s="1">
        <v>45</v>
      </c>
      <c r="CA46" s="1">
        <v>18</v>
      </c>
      <c r="CC46" s="1" t="str">
        <v>L</v>
      </c>
      <c r="CE46" s="1" t="str">
        <v>Q</v>
      </c>
    </row>
    <row r="47" spans="9:83" x14ac:dyDescent="0.25">
      <c r="I47" s="1" t="str">
        <v>T</v>
      </c>
      <c r="J47" s="1">
        <v>21</v>
      </c>
      <c r="K47" s="1">
        <v>48</v>
      </c>
      <c r="L47" s="1" t="b">
        <v>1</v>
      </c>
      <c r="U47" s="1" t="str">
        <v>J</v>
      </c>
      <c r="V47" s="1">
        <v>10</v>
      </c>
      <c r="W47" s="1">
        <v>37</v>
      </c>
      <c r="X47" s="1" t="b">
        <v>0</v>
      </c>
      <c r="AI47" s="52"/>
      <c r="AJ47" s="52"/>
      <c r="AK47" s="52"/>
      <c r="AL47" s="52"/>
      <c r="BW47" s="1" t="str">
        <v>R</v>
      </c>
      <c r="BY47" s="1" t="str">
        <v>R</v>
      </c>
      <c r="BZ47" s="1">
        <v>46</v>
      </c>
      <c r="CA47" s="1">
        <v>19</v>
      </c>
      <c r="CC47" s="1">
        <v>12</v>
      </c>
      <c r="CE47" s="1" t="str">
        <v>R</v>
      </c>
    </row>
    <row r="48" spans="9:83" x14ac:dyDescent="0.25">
      <c r="I48" s="1" t="str">
        <v>U</v>
      </c>
      <c r="J48" s="1">
        <v>22</v>
      </c>
      <c r="K48" s="1">
        <v>49</v>
      </c>
      <c r="L48" s="1" t="b">
        <v>1</v>
      </c>
      <c r="U48" s="1" t="str">
        <v>K</v>
      </c>
      <c r="V48" s="1">
        <v>11</v>
      </c>
      <c r="W48" s="1">
        <v>11</v>
      </c>
      <c r="X48" s="1" t="b">
        <v>0</v>
      </c>
      <c r="AI48" s="52"/>
      <c r="AJ48" s="52"/>
      <c r="AK48" s="52"/>
      <c r="AL48" s="52"/>
      <c r="BW48" s="1" t="str">
        <v>S</v>
      </c>
      <c r="BY48" s="1" t="str">
        <v>S</v>
      </c>
      <c r="BZ48" s="1">
        <v>47</v>
      </c>
      <c r="CA48" s="1">
        <v>20</v>
      </c>
      <c r="CC48" s="1">
        <v>12</v>
      </c>
      <c r="CE48" s="1" t="str">
        <v>S</v>
      </c>
    </row>
    <row r="49" spans="9:83" x14ac:dyDescent="0.25">
      <c r="I49" s="1" t="str">
        <v>V</v>
      </c>
      <c r="J49" s="1">
        <v>23</v>
      </c>
      <c r="K49" s="1">
        <v>50</v>
      </c>
      <c r="L49" s="1" t="b">
        <v>1</v>
      </c>
      <c r="U49" s="1" t="str">
        <v>K</v>
      </c>
      <c r="V49" s="1">
        <v>11</v>
      </c>
      <c r="W49" s="1">
        <v>38</v>
      </c>
      <c r="X49" s="1" t="b">
        <v>0</v>
      </c>
      <c r="AI49" s="52"/>
      <c r="AJ49" s="52"/>
      <c r="AK49" s="52"/>
      <c r="AL49" s="52"/>
      <c r="BW49" s="1" t="str">
        <v>T</v>
      </c>
      <c r="BY49" s="1" t="str">
        <v>T</v>
      </c>
      <c r="BZ49" s="1">
        <v>48</v>
      </c>
      <c r="CA49" s="1">
        <v>21</v>
      </c>
      <c r="CC49" s="1" t="b">
        <v>0</v>
      </c>
      <c r="CE49" s="1" t="str">
        <v>T</v>
      </c>
    </row>
    <row r="50" spans="9:83" x14ac:dyDescent="0.25">
      <c r="I50" s="1" t="str">
        <v>W</v>
      </c>
      <c r="J50" s="1">
        <v>24</v>
      </c>
      <c r="K50" s="1">
        <v>51</v>
      </c>
      <c r="L50" s="1" t="b">
        <v>1</v>
      </c>
      <c r="U50" s="1" t="str">
        <v>L</v>
      </c>
      <c r="V50" s="1">
        <v>12</v>
      </c>
      <c r="W50" s="1">
        <v>12</v>
      </c>
      <c r="X50" s="1" t="b">
        <v>0</v>
      </c>
      <c r="AI50" s="52"/>
      <c r="AJ50" s="52"/>
      <c r="AK50" s="52"/>
      <c r="AL50" s="52"/>
      <c r="BW50" s="1" t="str">
        <v>U</v>
      </c>
      <c r="BY50" s="1" t="str">
        <v>U</v>
      </c>
      <c r="BZ50" s="1">
        <v>49</v>
      </c>
      <c r="CA50" s="1">
        <v>22</v>
      </c>
      <c r="CC50" s="1" t="str">
        <v>M</v>
      </c>
      <c r="CE50" s="1" t="str">
        <v>U</v>
      </c>
    </row>
    <row r="51" spans="9:83" x14ac:dyDescent="0.25">
      <c r="I51" s="1" t="str">
        <v>X</v>
      </c>
      <c r="J51" s="1">
        <v>25</v>
      </c>
      <c r="K51" s="1">
        <v>52</v>
      </c>
      <c r="L51" s="1" t="b">
        <v>1</v>
      </c>
      <c r="U51" s="1" t="str">
        <v>L</v>
      </c>
      <c r="V51" s="1">
        <v>12</v>
      </c>
      <c r="W51" s="1">
        <v>39</v>
      </c>
      <c r="X51" s="1" t="b">
        <v>0</v>
      </c>
      <c r="AI51" s="52"/>
      <c r="AJ51" s="52"/>
      <c r="AK51" s="52"/>
      <c r="AL51" s="52"/>
      <c r="BW51" s="1" t="str">
        <v>V</v>
      </c>
      <c r="BY51" s="1" t="str">
        <v>V</v>
      </c>
      <c r="BZ51" s="1">
        <v>50</v>
      </c>
      <c r="CA51" s="1">
        <v>23</v>
      </c>
      <c r="CC51" s="1">
        <v>13</v>
      </c>
      <c r="CE51" s="1" t="str">
        <v>V</v>
      </c>
    </row>
    <row r="52" spans="9:83" x14ac:dyDescent="0.25">
      <c r="I52" s="1" t="str">
        <v>Y</v>
      </c>
      <c r="J52" s="1">
        <v>26</v>
      </c>
      <c r="K52" s="1">
        <v>53</v>
      </c>
      <c r="L52" s="1" t="b">
        <v>1</v>
      </c>
      <c r="U52" s="1" t="str">
        <v>M</v>
      </c>
      <c r="V52" s="1">
        <v>13</v>
      </c>
      <c r="W52" s="1">
        <v>13</v>
      </c>
      <c r="X52" s="1" t="b">
        <v>0</v>
      </c>
      <c r="AI52" s="52"/>
      <c r="AJ52" s="52"/>
      <c r="AK52" s="52"/>
      <c r="AL52" s="52"/>
      <c r="BW52" s="1" t="str">
        <v>W</v>
      </c>
      <c r="BY52" s="1" t="str">
        <v>W</v>
      </c>
      <c r="BZ52" s="1">
        <v>51</v>
      </c>
      <c r="CA52" s="1">
        <v>24</v>
      </c>
      <c r="CC52" s="1">
        <v>13</v>
      </c>
      <c r="CE52" s="1" t="str">
        <v>W</v>
      </c>
    </row>
    <row r="53" spans="9:83" x14ac:dyDescent="0.25">
      <c r="I53" s="1" t="str">
        <v>Z</v>
      </c>
      <c r="J53" s="1">
        <v>27</v>
      </c>
      <c r="K53" s="1">
        <v>54</v>
      </c>
      <c r="L53" s="1" t="b">
        <v>1</v>
      </c>
      <c r="U53" s="1" t="str">
        <v>M</v>
      </c>
      <c r="V53" s="1">
        <v>13</v>
      </c>
      <c r="W53" s="1">
        <v>40</v>
      </c>
      <c r="X53" s="1" t="b">
        <v>0</v>
      </c>
      <c r="AI53" s="52"/>
      <c r="AJ53" s="52"/>
      <c r="AK53" s="52"/>
      <c r="AL53" s="52"/>
      <c r="BW53" s="1" t="str">
        <v>X</v>
      </c>
      <c r="BY53" s="1" t="str">
        <v>X</v>
      </c>
      <c r="BZ53" s="1">
        <v>52</v>
      </c>
      <c r="CA53" s="1">
        <v>25</v>
      </c>
      <c r="CC53" s="1" t="b">
        <v>0</v>
      </c>
      <c r="CE53" s="1" t="str">
        <v>X</v>
      </c>
    </row>
    <row r="54" spans="9:83" x14ac:dyDescent="0.25">
      <c r="U54" s="1" t="str">
        <v>N</v>
      </c>
      <c r="V54" s="1">
        <v>14</v>
      </c>
      <c r="W54" s="1">
        <v>14</v>
      </c>
      <c r="X54" s="1" t="b">
        <v>0</v>
      </c>
      <c r="AI54" s="52"/>
      <c r="AJ54" s="52"/>
      <c r="AK54" s="52"/>
      <c r="AL54" s="52"/>
      <c r="BW54" s="1" t="str">
        <v>Y</v>
      </c>
      <c r="BY54" s="1" t="str">
        <v>Y</v>
      </c>
      <c r="BZ54" s="1">
        <v>53</v>
      </c>
      <c r="CA54" s="1">
        <v>26</v>
      </c>
      <c r="CC54" s="1" t="str">
        <v>N</v>
      </c>
      <c r="CE54" s="1" t="str">
        <v>Y</v>
      </c>
    </row>
    <row r="55" spans="9:83" x14ac:dyDescent="0.25">
      <c r="U55" s="1" t="str">
        <v>N</v>
      </c>
      <c r="V55" s="1">
        <v>14</v>
      </c>
      <c r="W55" s="1">
        <v>41</v>
      </c>
      <c r="X55" s="1" t="b">
        <v>0</v>
      </c>
      <c r="AI55" s="52"/>
      <c r="AJ55" s="52"/>
      <c r="AK55" s="52"/>
      <c r="AL55" s="52"/>
      <c r="BW55" s="1" t="str">
        <v>Z</v>
      </c>
      <c r="BY55" s="1" t="str">
        <v>Z</v>
      </c>
      <c r="BZ55" s="1">
        <v>54</v>
      </c>
      <c r="CA55" s="1">
        <v>27</v>
      </c>
      <c r="CC55" s="1">
        <v>14</v>
      </c>
      <c r="CE55" s="1" t="str">
        <v>Z</v>
      </c>
    </row>
    <row r="56" spans="9:83" x14ac:dyDescent="0.25">
      <c r="BW56" s="1">
        <v>1</v>
      </c>
      <c r="CC56" s="1">
        <v>14</v>
      </c>
    </row>
    <row r="57" spans="9:83" x14ac:dyDescent="0.25">
      <c r="BW57" s="1">
        <v>2</v>
      </c>
      <c r="CC57" s="1" t="b">
        <v>0</v>
      </c>
    </row>
    <row r="58" spans="9:83" x14ac:dyDescent="0.25">
      <c r="BW58" s="1">
        <v>3</v>
      </c>
      <c r="CC58" s="1" t="str">
        <v>Ñ</v>
      </c>
    </row>
    <row r="59" spans="9:83" x14ac:dyDescent="0.25">
      <c r="BW59" s="1">
        <v>4</v>
      </c>
      <c r="CC59" s="1">
        <v>15</v>
      </c>
    </row>
    <row r="60" spans="9:83" x14ac:dyDescent="0.25">
      <c r="BW60" s="1">
        <v>5</v>
      </c>
      <c r="CC60" s="1">
        <v>15</v>
      </c>
    </row>
    <row r="61" spans="9:83" x14ac:dyDescent="0.25">
      <c r="BW61" s="1">
        <v>6</v>
      </c>
      <c r="CC61" s="1" t="b">
        <v>1</v>
      </c>
    </row>
    <row r="62" spans="9:83" x14ac:dyDescent="0.25">
      <c r="BW62" s="1">
        <v>7</v>
      </c>
      <c r="CC62" s="1" t="str">
        <v>O</v>
      </c>
    </row>
    <row r="63" spans="9:83" x14ac:dyDescent="0.25">
      <c r="BW63" s="1">
        <v>8</v>
      </c>
      <c r="CC63" s="1">
        <v>16</v>
      </c>
    </row>
    <row r="64" spans="9:83" x14ac:dyDescent="0.25">
      <c r="BW64" s="1">
        <v>9</v>
      </c>
      <c r="CC64" s="1">
        <v>16</v>
      </c>
    </row>
    <row r="65" spans="75:81" x14ac:dyDescent="0.25">
      <c r="BW65" s="1">
        <v>10</v>
      </c>
      <c r="CC65" s="1" t="b">
        <v>1</v>
      </c>
    </row>
    <row r="66" spans="75:81" x14ac:dyDescent="0.25">
      <c r="BW66" s="1">
        <v>11</v>
      </c>
      <c r="CC66" s="1" t="str">
        <v>P</v>
      </c>
    </row>
    <row r="67" spans="75:81" x14ac:dyDescent="0.25">
      <c r="BW67" s="1">
        <v>12</v>
      </c>
      <c r="CC67" s="1">
        <v>17</v>
      </c>
    </row>
    <row r="68" spans="75:81" x14ac:dyDescent="0.25">
      <c r="BW68" s="1">
        <v>13</v>
      </c>
      <c r="CC68" s="1">
        <v>17</v>
      </c>
    </row>
    <row r="69" spans="75:81" x14ac:dyDescent="0.25">
      <c r="BW69" s="1">
        <v>14</v>
      </c>
      <c r="CC69" s="1" t="b">
        <v>1</v>
      </c>
    </row>
    <row r="70" spans="75:81" x14ac:dyDescent="0.25">
      <c r="BW70" s="1">
        <v>15</v>
      </c>
      <c r="CC70" s="1" t="str">
        <v>Q</v>
      </c>
    </row>
    <row r="71" spans="75:81" x14ac:dyDescent="0.25">
      <c r="BW71" s="1">
        <v>16</v>
      </c>
      <c r="CC71" s="1">
        <v>18</v>
      </c>
    </row>
    <row r="72" spans="75:81" x14ac:dyDescent="0.25">
      <c r="BW72" s="1">
        <v>17</v>
      </c>
      <c r="CC72" s="1">
        <v>18</v>
      </c>
    </row>
    <row r="73" spans="75:81" x14ac:dyDescent="0.25">
      <c r="BW73" s="1">
        <v>18</v>
      </c>
      <c r="CC73" s="1" t="b">
        <v>1</v>
      </c>
    </row>
    <row r="74" spans="75:81" x14ac:dyDescent="0.25">
      <c r="BW74" s="1">
        <v>19</v>
      </c>
      <c r="CC74" s="1" t="str">
        <v>R</v>
      </c>
    </row>
    <row r="75" spans="75:81" x14ac:dyDescent="0.25">
      <c r="BW75" s="1">
        <v>20</v>
      </c>
      <c r="CC75" s="1">
        <v>19</v>
      </c>
    </row>
    <row r="76" spans="75:81" x14ac:dyDescent="0.25">
      <c r="BW76" s="1">
        <v>21</v>
      </c>
      <c r="CC76" s="1">
        <v>19</v>
      </c>
    </row>
    <row r="77" spans="75:81" x14ac:dyDescent="0.25">
      <c r="BW77" s="1">
        <v>22</v>
      </c>
      <c r="CC77" s="1" t="b">
        <v>1</v>
      </c>
    </row>
    <row r="78" spans="75:81" x14ac:dyDescent="0.25">
      <c r="BW78" s="1">
        <v>23</v>
      </c>
      <c r="CC78" s="1" t="str">
        <v>S</v>
      </c>
    </row>
    <row r="79" spans="75:81" x14ac:dyDescent="0.25">
      <c r="BW79" s="1">
        <v>24</v>
      </c>
      <c r="CC79" s="1">
        <v>20</v>
      </c>
    </row>
    <row r="80" spans="75:81" x14ac:dyDescent="0.25">
      <c r="BW80" s="1">
        <v>25</v>
      </c>
      <c r="CC80" s="1">
        <v>20</v>
      </c>
    </row>
    <row r="81" spans="75:81" x14ac:dyDescent="0.25">
      <c r="BW81" s="1">
        <v>26</v>
      </c>
      <c r="CC81" s="1" t="b">
        <v>1</v>
      </c>
    </row>
    <row r="82" spans="75:81" x14ac:dyDescent="0.25">
      <c r="BW82" s="1">
        <v>27</v>
      </c>
      <c r="CC82" s="1" t="str">
        <v>T</v>
      </c>
    </row>
    <row r="83" spans="75:81" x14ac:dyDescent="0.25">
      <c r="BW83" s="1">
        <v>1</v>
      </c>
      <c r="CC83" s="1">
        <v>21</v>
      </c>
    </row>
    <row r="84" spans="75:81" x14ac:dyDescent="0.25">
      <c r="BW84" s="1">
        <v>2</v>
      </c>
      <c r="CC84" s="1">
        <v>21</v>
      </c>
    </row>
    <row r="85" spans="75:81" x14ac:dyDescent="0.25">
      <c r="BW85" s="1">
        <v>3</v>
      </c>
      <c r="CC85" s="1" t="b">
        <v>1</v>
      </c>
    </row>
    <row r="86" spans="75:81" x14ac:dyDescent="0.25">
      <c r="BW86" s="1">
        <v>4</v>
      </c>
      <c r="CC86" s="1" t="str">
        <v>U</v>
      </c>
    </row>
    <row r="87" spans="75:81" x14ac:dyDescent="0.25">
      <c r="BW87" s="1">
        <v>5</v>
      </c>
      <c r="CC87" s="1">
        <v>22</v>
      </c>
    </row>
    <row r="88" spans="75:81" x14ac:dyDescent="0.25">
      <c r="BW88" s="1">
        <v>6</v>
      </c>
      <c r="CC88" s="1">
        <v>22</v>
      </c>
    </row>
    <row r="89" spans="75:81" x14ac:dyDescent="0.25">
      <c r="BW89" s="1">
        <v>7</v>
      </c>
      <c r="CC89" s="1" t="b">
        <v>1</v>
      </c>
    </row>
    <row r="90" spans="75:81" x14ac:dyDescent="0.25">
      <c r="BW90" s="1">
        <v>8</v>
      </c>
      <c r="CC90" s="1" t="str">
        <v>V</v>
      </c>
    </row>
    <row r="91" spans="75:81" x14ac:dyDescent="0.25">
      <c r="BW91" s="1">
        <v>9</v>
      </c>
      <c r="CC91" s="1">
        <v>23</v>
      </c>
    </row>
    <row r="92" spans="75:81" x14ac:dyDescent="0.25">
      <c r="BW92" s="1">
        <v>10</v>
      </c>
      <c r="CC92" s="1">
        <v>23</v>
      </c>
    </row>
    <row r="93" spans="75:81" x14ac:dyDescent="0.25">
      <c r="BW93" s="1">
        <v>11</v>
      </c>
      <c r="CC93" s="1" t="b">
        <v>1</v>
      </c>
    </row>
    <row r="94" spans="75:81" x14ac:dyDescent="0.25">
      <c r="BW94" s="1">
        <v>12</v>
      </c>
      <c r="CC94" s="1" t="str">
        <v>W</v>
      </c>
    </row>
    <row r="95" spans="75:81" x14ac:dyDescent="0.25">
      <c r="BW95" s="1">
        <v>13</v>
      </c>
      <c r="CC95" s="1">
        <v>24</v>
      </c>
    </row>
    <row r="96" spans="75:81" x14ac:dyDescent="0.25">
      <c r="BW96" s="1">
        <v>14</v>
      </c>
      <c r="CC96" s="1">
        <v>24</v>
      </c>
    </row>
    <row r="97" spans="75:81" x14ac:dyDescent="0.25">
      <c r="BW97" s="1">
        <v>15</v>
      </c>
      <c r="CC97" s="1" t="b">
        <v>1</v>
      </c>
    </row>
    <row r="98" spans="75:81" x14ac:dyDescent="0.25">
      <c r="BW98" s="1">
        <v>16</v>
      </c>
      <c r="CC98" s="1" t="str">
        <v>X</v>
      </c>
    </row>
    <row r="99" spans="75:81" x14ac:dyDescent="0.25">
      <c r="BW99" s="1">
        <v>17</v>
      </c>
      <c r="CC99" s="1">
        <v>25</v>
      </c>
    </row>
    <row r="100" spans="75:81" x14ac:dyDescent="0.25">
      <c r="BW100" s="1">
        <v>18</v>
      </c>
      <c r="CC100" s="1">
        <v>25</v>
      </c>
    </row>
    <row r="101" spans="75:81" x14ac:dyDescent="0.25">
      <c r="BW101" s="1">
        <v>19</v>
      </c>
      <c r="CC101" s="1" t="b">
        <v>1</v>
      </c>
    </row>
    <row r="102" spans="75:81" x14ac:dyDescent="0.25">
      <c r="BW102" s="1">
        <v>20</v>
      </c>
      <c r="CC102" s="1" t="str">
        <v>Y</v>
      </c>
    </row>
    <row r="103" spans="75:81" x14ac:dyDescent="0.25">
      <c r="BW103" s="1">
        <v>21</v>
      </c>
      <c r="CC103" s="1">
        <v>26</v>
      </c>
    </row>
    <row r="104" spans="75:81" x14ac:dyDescent="0.25">
      <c r="BW104" s="1">
        <v>22</v>
      </c>
      <c r="CC104" s="1">
        <v>26</v>
      </c>
    </row>
    <row r="105" spans="75:81" x14ac:dyDescent="0.25">
      <c r="BW105" s="1">
        <v>23</v>
      </c>
      <c r="CC105" s="1" t="b">
        <v>1</v>
      </c>
    </row>
    <row r="106" spans="75:81" x14ac:dyDescent="0.25">
      <c r="BW106" s="1">
        <v>24</v>
      </c>
      <c r="CC106" s="1" t="str">
        <v>Z</v>
      </c>
    </row>
    <row r="107" spans="75:81" x14ac:dyDescent="0.25">
      <c r="BW107" s="1">
        <v>25</v>
      </c>
      <c r="CC107" s="1">
        <v>27</v>
      </c>
    </row>
    <row r="108" spans="75:81" x14ac:dyDescent="0.25">
      <c r="BW108" s="1">
        <v>26</v>
      </c>
      <c r="CC108" s="1">
        <v>27</v>
      </c>
    </row>
    <row r="109" spans="75:81" x14ac:dyDescent="0.25">
      <c r="BW109" s="1">
        <v>27</v>
      </c>
      <c r="CC109" s="1" t="b">
        <v>1</v>
      </c>
    </row>
    <row r="110" spans="75:81" x14ac:dyDescent="0.25">
      <c r="CC110" s="1" t="str">
        <v>A</v>
      </c>
    </row>
    <row r="111" spans="75:81" x14ac:dyDescent="0.25">
      <c r="CC111" s="1">
        <v>1</v>
      </c>
    </row>
    <row r="112" spans="75:81" x14ac:dyDescent="0.25">
      <c r="CC112" s="1">
        <v>28</v>
      </c>
    </row>
    <row r="113" spans="81:81" x14ac:dyDescent="0.25">
      <c r="CC113" s="1" t="b">
        <v>0</v>
      </c>
    </row>
    <row r="114" spans="81:81" x14ac:dyDescent="0.25">
      <c r="CC114" s="1" t="str">
        <v>B</v>
      </c>
    </row>
    <row r="115" spans="81:81" x14ac:dyDescent="0.25">
      <c r="CC115" s="1">
        <v>2</v>
      </c>
    </row>
    <row r="116" spans="81:81" x14ac:dyDescent="0.25">
      <c r="CC116" s="1">
        <v>29</v>
      </c>
    </row>
    <row r="117" spans="81:81" x14ac:dyDescent="0.25">
      <c r="CC117" s="1" t="b">
        <v>0</v>
      </c>
    </row>
    <row r="118" spans="81:81" x14ac:dyDescent="0.25">
      <c r="CC118" s="1" t="str">
        <v>C</v>
      </c>
    </row>
    <row r="119" spans="81:81" x14ac:dyDescent="0.25">
      <c r="CC119" s="1">
        <v>3</v>
      </c>
    </row>
    <row r="120" spans="81:81" x14ac:dyDescent="0.25">
      <c r="CC120" s="1">
        <v>30</v>
      </c>
    </row>
    <row r="121" spans="81:81" x14ac:dyDescent="0.25">
      <c r="CC121" s="1" t="b">
        <v>0</v>
      </c>
    </row>
    <row r="122" spans="81:81" x14ac:dyDescent="0.25">
      <c r="CC122" s="1" t="str">
        <v>D</v>
      </c>
    </row>
    <row r="123" spans="81:81" x14ac:dyDescent="0.25">
      <c r="CC123" s="1">
        <v>4</v>
      </c>
    </row>
    <row r="124" spans="81:81" x14ac:dyDescent="0.25">
      <c r="CC124" s="1">
        <v>31</v>
      </c>
    </row>
    <row r="125" spans="81:81" x14ac:dyDescent="0.25">
      <c r="CC125" s="1" t="b">
        <v>0</v>
      </c>
    </row>
    <row r="126" spans="81:81" x14ac:dyDescent="0.25">
      <c r="CC126" s="1" t="str">
        <v>E</v>
      </c>
    </row>
    <row r="127" spans="81:81" x14ac:dyDescent="0.25">
      <c r="CC127" s="1">
        <v>5</v>
      </c>
    </row>
    <row r="128" spans="81:81" x14ac:dyDescent="0.25">
      <c r="CC128" s="1">
        <v>32</v>
      </c>
    </row>
    <row r="129" spans="81:81" x14ac:dyDescent="0.25">
      <c r="CC129" s="1" t="b">
        <v>0</v>
      </c>
    </row>
    <row r="130" spans="81:81" x14ac:dyDescent="0.25">
      <c r="CC130" s="1" t="str">
        <v>F</v>
      </c>
    </row>
    <row r="131" spans="81:81" x14ac:dyDescent="0.25">
      <c r="CC131" s="1">
        <v>6</v>
      </c>
    </row>
    <row r="132" spans="81:81" x14ac:dyDescent="0.25">
      <c r="CC132" s="1">
        <v>33</v>
      </c>
    </row>
    <row r="133" spans="81:81" x14ac:dyDescent="0.25">
      <c r="CC133" s="1" t="b">
        <v>0</v>
      </c>
    </row>
    <row r="134" spans="81:81" x14ac:dyDescent="0.25">
      <c r="CC134" s="1" t="str">
        <v>G</v>
      </c>
    </row>
    <row r="135" spans="81:81" x14ac:dyDescent="0.25">
      <c r="CC135" s="1">
        <v>7</v>
      </c>
    </row>
    <row r="136" spans="81:81" x14ac:dyDescent="0.25">
      <c r="CC136" s="1">
        <v>34</v>
      </c>
    </row>
    <row r="137" spans="81:81" x14ac:dyDescent="0.25">
      <c r="CC137" s="1" t="b">
        <v>0</v>
      </c>
    </row>
    <row r="138" spans="81:81" x14ac:dyDescent="0.25">
      <c r="CC138" s="1" t="str">
        <v>H</v>
      </c>
    </row>
    <row r="139" spans="81:81" x14ac:dyDescent="0.25">
      <c r="CC139" s="1">
        <v>8</v>
      </c>
    </row>
    <row r="140" spans="81:81" x14ac:dyDescent="0.25">
      <c r="CC140" s="1">
        <v>35</v>
      </c>
    </row>
    <row r="141" spans="81:81" x14ac:dyDescent="0.25">
      <c r="CC141" s="1" t="b">
        <v>0</v>
      </c>
    </row>
    <row r="142" spans="81:81" x14ac:dyDescent="0.25">
      <c r="CC142" s="1" t="str">
        <v>I</v>
      </c>
    </row>
    <row r="143" spans="81:81" x14ac:dyDescent="0.25">
      <c r="CC143" s="1">
        <v>9</v>
      </c>
    </row>
    <row r="144" spans="81:81" x14ac:dyDescent="0.25">
      <c r="CC144" s="1">
        <v>36</v>
      </c>
    </row>
    <row r="145" spans="81:81" x14ac:dyDescent="0.25">
      <c r="CC145" s="1" t="b">
        <v>0</v>
      </c>
    </row>
    <row r="146" spans="81:81" x14ac:dyDescent="0.25">
      <c r="CC146" s="1" t="str">
        <v>J</v>
      </c>
    </row>
    <row r="147" spans="81:81" x14ac:dyDescent="0.25">
      <c r="CC147" s="1">
        <v>10</v>
      </c>
    </row>
    <row r="148" spans="81:81" x14ac:dyDescent="0.25">
      <c r="CC148" s="1">
        <v>37</v>
      </c>
    </row>
    <row r="149" spans="81:81" x14ac:dyDescent="0.25">
      <c r="CC149" s="1" t="b">
        <v>0</v>
      </c>
    </row>
    <row r="150" spans="81:81" x14ac:dyDescent="0.25">
      <c r="CC150" s="1" t="str">
        <v>K</v>
      </c>
    </row>
    <row r="151" spans="81:81" x14ac:dyDescent="0.25">
      <c r="CC151" s="1">
        <v>11</v>
      </c>
    </row>
    <row r="152" spans="81:81" x14ac:dyDescent="0.25">
      <c r="CC152" s="1">
        <v>38</v>
      </c>
    </row>
    <row r="153" spans="81:81" x14ac:dyDescent="0.25">
      <c r="CC153" s="1" t="b">
        <v>0</v>
      </c>
    </row>
    <row r="154" spans="81:81" x14ac:dyDescent="0.25">
      <c r="CC154" s="1" t="str">
        <v>L</v>
      </c>
    </row>
    <row r="155" spans="81:81" x14ac:dyDescent="0.25">
      <c r="CC155" s="1">
        <v>12</v>
      </c>
    </row>
    <row r="156" spans="81:81" x14ac:dyDescent="0.25">
      <c r="CC156" s="1">
        <v>39</v>
      </c>
    </row>
    <row r="157" spans="81:81" x14ac:dyDescent="0.25">
      <c r="CC157" s="1" t="b">
        <v>0</v>
      </c>
    </row>
    <row r="158" spans="81:81" x14ac:dyDescent="0.25">
      <c r="CC158" s="1" t="str">
        <v>M</v>
      </c>
    </row>
    <row r="159" spans="81:81" x14ac:dyDescent="0.25">
      <c r="CC159" s="1">
        <v>13</v>
      </c>
    </row>
    <row r="160" spans="81:81" x14ac:dyDescent="0.25">
      <c r="CC160" s="1">
        <v>40</v>
      </c>
    </row>
    <row r="161" spans="81:81" x14ac:dyDescent="0.25">
      <c r="CC161" s="1" t="b">
        <v>0</v>
      </c>
    </row>
    <row r="162" spans="81:81" x14ac:dyDescent="0.25">
      <c r="CC162" s="1" t="str">
        <v>N</v>
      </c>
    </row>
    <row r="163" spans="81:81" x14ac:dyDescent="0.25">
      <c r="CC163" s="1">
        <v>14</v>
      </c>
    </row>
    <row r="164" spans="81:81" x14ac:dyDescent="0.25">
      <c r="CC164" s="1">
        <v>41</v>
      </c>
    </row>
    <row r="165" spans="81:81" x14ac:dyDescent="0.25">
      <c r="CC165" s="1" t="b">
        <v>0</v>
      </c>
    </row>
    <row r="166" spans="81:81" x14ac:dyDescent="0.25">
      <c r="CC166" s="1" t="str">
        <v>Ñ</v>
      </c>
    </row>
    <row r="167" spans="81:81" x14ac:dyDescent="0.25">
      <c r="CC167" s="1">
        <v>15</v>
      </c>
    </row>
    <row r="168" spans="81:81" x14ac:dyDescent="0.25">
      <c r="CC168" s="1">
        <v>42</v>
      </c>
    </row>
    <row r="169" spans="81:81" x14ac:dyDescent="0.25">
      <c r="CC169" s="1" t="b">
        <v>1</v>
      </c>
    </row>
    <row r="170" spans="81:81" x14ac:dyDescent="0.25">
      <c r="CC170" s="1" t="str">
        <v>O</v>
      </c>
    </row>
    <row r="171" spans="81:81" x14ac:dyDescent="0.25">
      <c r="CC171" s="1">
        <v>16</v>
      </c>
    </row>
    <row r="172" spans="81:81" x14ac:dyDescent="0.25">
      <c r="CC172" s="1">
        <v>43</v>
      </c>
    </row>
    <row r="173" spans="81:81" x14ac:dyDescent="0.25">
      <c r="CC173" s="1" t="b">
        <v>1</v>
      </c>
    </row>
    <row r="174" spans="81:81" x14ac:dyDescent="0.25">
      <c r="CC174" s="1" t="str">
        <v>P</v>
      </c>
    </row>
    <row r="175" spans="81:81" x14ac:dyDescent="0.25">
      <c r="CC175" s="1">
        <v>17</v>
      </c>
    </row>
    <row r="176" spans="81:81" x14ac:dyDescent="0.25">
      <c r="CC176" s="1">
        <v>44</v>
      </c>
    </row>
    <row r="177" spans="81:81" x14ac:dyDescent="0.25">
      <c r="CC177" s="1" t="b">
        <v>1</v>
      </c>
    </row>
    <row r="178" spans="81:81" x14ac:dyDescent="0.25">
      <c r="CC178" s="1" t="str">
        <v>Q</v>
      </c>
    </row>
    <row r="179" spans="81:81" x14ac:dyDescent="0.25">
      <c r="CC179" s="1">
        <v>18</v>
      </c>
    </row>
    <row r="180" spans="81:81" x14ac:dyDescent="0.25">
      <c r="CC180" s="1">
        <v>45</v>
      </c>
    </row>
    <row r="181" spans="81:81" x14ac:dyDescent="0.25">
      <c r="CC181" s="1" t="b">
        <v>1</v>
      </c>
    </row>
    <row r="182" spans="81:81" x14ac:dyDescent="0.25">
      <c r="CC182" s="1" t="str">
        <v>R</v>
      </c>
    </row>
    <row r="183" spans="81:81" x14ac:dyDescent="0.25">
      <c r="CC183" s="1">
        <v>19</v>
      </c>
    </row>
    <row r="184" spans="81:81" x14ac:dyDescent="0.25">
      <c r="CC184" s="1">
        <v>46</v>
      </c>
    </row>
    <row r="185" spans="81:81" x14ac:dyDescent="0.25">
      <c r="CC185" s="1" t="b">
        <v>1</v>
      </c>
    </row>
    <row r="186" spans="81:81" x14ac:dyDescent="0.25">
      <c r="CC186" s="1" t="str">
        <v>S</v>
      </c>
    </row>
    <row r="187" spans="81:81" x14ac:dyDescent="0.25">
      <c r="CC187" s="1">
        <v>20</v>
      </c>
    </row>
    <row r="188" spans="81:81" x14ac:dyDescent="0.25">
      <c r="CC188" s="1">
        <v>47</v>
      </c>
    </row>
    <row r="189" spans="81:81" x14ac:dyDescent="0.25">
      <c r="CC189" s="1" t="b">
        <v>1</v>
      </c>
    </row>
    <row r="190" spans="81:81" x14ac:dyDescent="0.25">
      <c r="CC190" s="1" t="str">
        <v>T</v>
      </c>
    </row>
    <row r="191" spans="81:81" x14ac:dyDescent="0.25">
      <c r="CC191" s="1">
        <v>21</v>
      </c>
    </row>
    <row r="192" spans="81:81" x14ac:dyDescent="0.25">
      <c r="CC192" s="1">
        <v>48</v>
      </c>
    </row>
    <row r="193" spans="81:81" x14ac:dyDescent="0.25">
      <c r="CC193" s="1" t="b">
        <v>1</v>
      </c>
    </row>
    <row r="194" spans="81:81" x14ac:dyDescent="0.25">
      <c r="CC194" s="1" t="str">
        <v>U</v>
      </c>
    </row>
    <row r="195" spans="81:81" x14ac:dyDescent="0.25">
      <c r="CC195" s="1">
        <v>22</v>
      </c>
    </row>
    <row r="196" spans="81:81" x14ac:dyDescent="0.25">
      <c r="CC196" s="1">
        <v>49</v>
      </c>
    </row>
    <row r="197" spans="81:81" x14ac:dyDescent="0.25">
      <c r="CC197" s="1" t="b">
        <v>1</v>
      </c>
    </row>
    <row r="198" spans="81:81" x14ac:dyDescent="0.25">
      <c r="CC198" s="1" t="str">
        <v>V</v>
      </c>
    </row>
    <row r="199" spans="81:81" x14ac:dyDescent="0.25">
      <c r="CC199" s="1">
        <v>23</v>
      </c>
    </row>
    <row r="200" spans="81:81" x14ac:dyDescent="0.25">
      <c r="CC200" s="1">
        <v>50</v>
      </c>
    </row>
    <row r="201" spans="81:81" x14ac:dyDescent="0.25">
      <c r="CC201" s="1" t="b">
        <v>1</v>
      </c>
    </row>
    <row r="202" spans="81:81" x14ac:dyDescent="0.25">
      <c r="CC202" s="1" t="str">
        <v>W</v>
      </c>
    </row>
    <row r="203" spans="81:81" x14ac:dyDescent="0.25">
      <c r="CC203" s="1">
        <v>24</v>
      </c>
    </row>
    <row r="204" spans="81:81" x14ac:dyDescent="0.25">
      <c r="CC204" s="1">
        <v>51</v>
      </c>
    </row>
    <row r="205" spans="81:81" x14ac:dyDescent="0.25">
      <c r="CC205" s="1" t="b">
        <v>1</v>
      </c>
    </row>
    <row r="206" spans="81:81" x14ac:dyDescent="0.25">
      <c r="CC206" s="1" t="str">
        <v>X</v>
      </c>
    </row>
    <row r="207" spans="81:81" x14ac:dyDescent="0.25">
      <c r="CC207" s="1">
        <v>25</v>
      </c>
    </row>
    <row r="208" spans="81:81" x14ac:dyDescent="0.25">
      <c r="CC208" s="1">
        <v>52</v>
      </c>
    </row>
    <row r="209" spans="81:81" x14ac:dyDescent="0.25">
      <c r="CC209" s="1" t="b">
        <v>1</v>
      </c>
    </row>
    <row r="210" spans="81:81" x14ac:dyDescent="0.25">
      <c r="CC210" s="1" t="str">
        <v>Y</v>
      </c>
    </row>
    <row r="211" spans="81:81" x14ac:dyDescent="0.25">
      <c r="CC211" s="1">
        <v>26</v>
      </c>
    </row>
    <row r="212" spans="81:81" x14ac:dyDescent="0.25">
      <c r="CC212" s="1">
        <v>53</v>
      </c>
    </row>
    <row r="213" spans="81:81" x14ac:dyDescent="0.25">
      <c r="CC213" s="1" t="b">
        <v>1</v>
      </c>
    </row>
    <row r="214" spans="81:81" x14ac:dyDescent="0.25">
      <c r="CC214" s="1" t="str">
        <v>Z</v>
      </c>
    </row>
    <row r="215" spans="81:81" x14ac:dyDescent="0.25">
      <c r="CC215" s="1">
        <v>27</v>
      </c>
    </row>
    <row r="216" spans="81:81" x14ac:dyDescent="0.25">
      <c r="CC216" s="1">
        <v>54</v>
      </c>
    </row>
    <row r="217" spans="81:81" x14ac:dyDescent="0.25">
      <c r="CC217" s="1" t="b">
        <v>1</v>
      </c>
    </row>
  </sheetData>
  <mergeCells count="27">
    <mergeCell ref="BR13:BU13"/>
    <mergeCell ref="BP7:BQ8"/>
    <mergeCell ref="BR1:BU8"/>
    <mergeCell ref="BR9:BU9"/>
    <mergeCell ref="BR10:BU10"/>
    <mergeCell ref="BR11:BU11"/>
    <mergeCell ref="BR12:BU12"/>
    <mergeCell ref="BP1:BQ2"/>
    <mergeCell ref="BP3:BQ4"/>
    <mergeCell ref="BP5:BQ6"/>
    <mergeCell ref="AP6:AS6"/>
    <mergeCell ref="AY1:AZ5"/>
    <mergeCell ref="BA1:BD5"/>
    <mergeCell ref="BA6:BD6"/>
    <mergeCell ref="BA7:BD7"/>
    <mergeCell ref="Z1:AA5"/>
    <mergeCell ref="AB1:AE5"/>
    <mergeCell ref="AB6:AE6"/>
    <mergeCell ref="AB7:AE7"/>
    <mergeCell ref="AN1:AO5"/>
    <mergeCell ref="AP1:AS5"/>
    <mergeCell ref="A1:B5"/>
    <mergeCell ref="C1:F5"/>
    <mergeCell ref="C6:F6"/>
    <mergeCell ref="N1:O5"/>
    <mergeCell ref="P1:S5"/>
    <mergeCell ref="P6:S7"/>
  </mergeCells>
  <conditionalFormatting sqref="H1:J1048576 AI2">
    <cfRule type="expression" dxfId="30" priority="43">
      <formula>COUNTA(H1)=1</formula>
    </cfRule>
  </conditionalFormatting>
  <conditionalFormatting sqref="U2:U1048576">
    <cfRule type="expression" dxfId="29" priority="40">
      <formula>COUNTA(U2)=1</formula>
    </cfRule>
  </conditionalFormatting>
  <conditionalFormatting sqref="V2:V1048576">
    <cfRule type="expression" dxfId="28" priority="39">
      <formula>COUNTA(V2)=1</formula>
    </cfRule>
  </conditionalFormatting>
  <conditionalFormatting sqref="AG2:AG1048576">
    <cfRule type="expression" dxfId="27" priority="34">
      <formula>COUNTA(AG2)=1</formula>
    </cfRule>
  </conditionalFormatting>
  <conditionalFormatting sqref="AH1:AH1048576">
    <cfRule type="expression" dxfId="26" priority="33">
      <formula>COUNTA(AH1)=1</formula>
    </cfRule>
  </conditionalFormatting>
  <conditionalFormatting sqref="AG1">
    <cfRule type="expression" dxfId="25" priority="30">
      <formula>COUNTA(AG1)=1</formula>
    </cfRule>
  </conditionalFormatting>
  <conditionalFormatting sqref="K1:K1048576">
    <cfRule type="expression" dxfId="24" priority="28">
      <formula>COUNTA(K1)=1</formula>
    </cfRule>
  </conditionalFormatting>
  <conditionalFormatting sqref="L1:L1048576">
    <cfRule type="expression" dxfId="23" priority="27">
      <formula>COUNTA(L1)=1</formula>
    </cfRule>
  </conditionalFormatting>
  <conditionalFormatting sqref="W2:W1048576">
    <cfRule type="expression" dxfId="22" priority="26">
      <formula>COUNTA(W2)=1</formula>
    </cfRule>
  </conditionalFormatting>
  <conditionalFormatting sqref="X2:X1048576">
    <cfRule type="expression" dxfId="21" priority="25">
      <formula>COUNTA(X2)=1</formula>
    </cfRule>
  </conditionalFormatting>
  <conditionalFormatting sqref="U1:V1">
    <cfRule type="expression" dxfId="20" priority="24">
      <formula>COUNTA(U1)=1</formula>
    </cfRule>
  </conditionalFormatting>
  <conditionalFormatting sqref="W1">
    <cfRule type="expression" dxfId="19" priority="23">
      <formula>COUNTA(W1)=1</formula>
    </cfRule>
  </conditionalFormatting>
  <conditionalFormatting sqref="X1">
    <cfRule type="expression" dxfId="18" priority="22">
      <formula>COUNTA(X1)=1</formula>
    </cfRule>
  </conditionalFormatting>
  <conditionalFormatting sqref="AI2:AI1048576">
    <cfRule type="expression" dxfId="17" priority="21">
      <formula>COUNTA(AI2)=1</formula>
    </cfRule>
  </conditionalFormatting>
  <conditionalFormatting sqref="AJ2:AL1048576">
    <cfRule type="expression" dxfId="16" priority="19">
      <formula>COUNTA(AJ2)=1</formula>
    </cfRule>
  </conditionalFormatting>
  <conditionalFormatting sqref="AI1:AJ1">
    <cfRule type="expression" dxfId="15" priority="18">
      <formula>COUNTA(AI1)=1</formula>
    </cfRule>
  </conditionalFormatting>
  <conditionalFormatting sqref="AK1">
    <cfRule type="expression" dxfId="14" priority="15">
      <formula>COUNTA(AK1)=1</formula>
    </cfRule>
  </conditionalFormatting>
  <conditionalFormatting sqref="AL1">
    <cfRule type="expression" dxfId="13" priority="14">
      <formula>COUNTA(AL1)=1</formula>
    </cfRule>
  </conditionalFormatting>
  <conditionalFormatting sqref="AW2:AW1048576">
    <cfRule type="expression" dxfId="12" priority="13">
      <formula>COUNTA(AW2)=1</formula>
    </cfRule>
  </conditionalFormatting>
  <conditionalFormatting sqref="AW2">
    <cfRule type="expression" dxfId="11" priority="12">
      <formula>COUNTA(AW2)=1</formula>
    </cfRule>
  </conditionalFormatting>
  <conditionalFormatting sqref="BH2:BK1048576">
    <cfRule type="expression" dxfId="10" priority="11">
      <formula>COUNTA(BH2)=1</formula>
    </cfRule>
  </conditionalFormatting>
  <conditionalFormatting sqref="BH2:BN2">
    <cfRule type="expression" dxfId="9" priority="10">
      <formula>COUNTA(BH2)=1</formula>
    </cfRule>
  </conditionalFormatting>
  <conditionalFormatting sqref="BL2:BN1048576">
    <cfRule type="expression" dxfId="8" priority="9">
      <formula>COUNTA(BL2)=1</formula>
    </cfRule>
  </conditionalFormatting>
  <conditionalFormatting sqref="BW2">
    <cfRule type="expression" dxfId="7" priority="8">
      <formula>COUNTA(BW2)=1</formula>
    </cfRule>
  </conditionalFormatting>
  <conditionalFormatting sqref="BW2:BW1048576">
    <cfRule type="expression" dxfId="6" priority="7">
      <formula>COUNTA(BW2)=1</formula>
    </cfRule>
  </conditionalFormatting>
  <conditionalFormatting sqref="BY2:CA2">
    <cfRule type="expression" dxfId="5" priority="6">
      <formula>COUNTA(BY2)=1</formula>
    </cfRule>
  </conditionalFormatting>
  <conditionalFormatting sqref="BY2:CA1048576">
    <cfRule type="expression" dxfId="4" priority="5">
      <formula>COUNTA(BY2)=1</formula>
    </cfRule>
  </conditionalFormatting>
  <conditionalFormatting sqref="CC2">
    <cfRule type="expression" dxfId="3" priority="4">
      <formula>COUNTA(CC2)=1</formula>
    </cfRule>
  </conditionalFormatting>
  <conditionalFormatting sqref="CC2:CC1048576">
    <cfRule type="expression" dxfId="2" priority="3">
      <formula>COUNTA(CC2)=1</formula>
    </cfRule>
  </conditionalFormatting>
  <conditionalFormatting sqref="CE2">
    <cfRule type="expression" dxfId="1" priority="2">
      <formula>COUNTA(CE2)=1</formula>
    </cfRule>
  </conditionalFormatting>
  <conditionalFormatting sqref="CE2:CE1048576">
    <cfRule type="expression" dxfId="0" priority="1">
      <formula>COUNTA(CE2)=1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04D5-DE0C-4E97-91FB-35C8F4938488}">
  <sheetPr>
    <tabColor rgb="FFFFC000"/>
  </sheetPr>
  <dimension ref="A1:M17"/>
  <sheetViews>
    <sheetView topLeftCell="A3" workbookViewId="0">
      <selection activeCell="U29" sqref="U29"/>
    </sheetView>
  </sheetViews>
  <sheetFormatPr baseColWidth="10" defaultRowHeight="15" x14ac:dyDescent="0.25"/>
  <cols>
    <col min="1" max="6" width="12" customWidth="1"/>
    <col min="8" max="8" width="11.42578125" style="1"/>
    <col min="9" max="9" width="11.7109375" style="1" bestFit="1" customWidth="1"/>
    <col min="12" max="12" width="11.140625" customWidth="1"/>
    <col min="13" max="13" width="3" style="45" customWidth="1"/>
  </cols>
  <sheetData>
    <row r="1" spans="1:12" ht="15" customHeight="1" x14ac:dyDescent="0.25">
      <c r="A1" s="7" t="s">
        <v>69</v>
      </c>
      <c r="B1" s="8"/>
      <c r="C1" s="7" t="s">
        <v>73</v>
      </c>
      <c r="D1" s="13"/>
      <c r="E1" s="13"/>
      <c r="F1" s="8"/>
      <c r="I1" s="2" t="s">
        <v>76</v>
      </c>
      <c r="K1" s="1"/>
      <c r="L1" s="2" t="s">
        <v>70</v>
      </c>
    </row>
    <row r="2" spans="1:12" ht="15.75" customHeight="1" thickBot="1" x14ac:dyDescent="0.3">
      <c r="A2" s="11"/>
      <c r="B2" s="12"/>
      <c r="C2" s="9"/>
      <c r="D2" s="14"/>
      <c r="E2" s="14"/>
      <c r="F2" s="10"/>
      <c r="H2" s="2" t="s">
        <v>1</v>
      </c>
      <c r="I2" s="2" cm="1">
        <f t="array" ref="I2:I4">SUMIFS(Data[Número],Data[Letras],'Operar Tablas'!H2:H4)</f>
        <v>2</v>
      </c>
      <c r="K2" s="2" t="s">
        <v>1</v>
      </c>
      <c r="L2" s="2" cm="1">
        <f t="array" ref="L2:L4">COUNTIFS(Data[Letras],'Operar Tablas'!K2:K4)</f>
        <v>2</v>
      </c>
    </row>
    <row r="3" spans="1:12" ht="15" customHeight="1" x14ac:dyDescent="0.25">
      <c r="A3" s="7" t="s">
        <v>70</v>
      </c>
      <c r="B3" s="8"/>
      <c r="C3" s="9"/>
      <c r="D3" s="14"/>
      <c r="E3" s="14"/>
      <c r="F3" s="10"/>
      <c r="H3" s="2" t="s">
        <v>2</v>
      </c>
      <c r="I3" s="2">
        <v>4</v>
      </c>
      <c r="K3" s="2" t="s">
        <v>2</v>
      </c>
      <c r="L3" s="2">
        <v>2</v>
      </c>
    </row>
    <row r="4" spans="1:12" ht="15.75" customHeight="1" thickBot="1" x14ac:dyDescent="0.3">
      <c r="A4" s="11"/>
      <c r="B4" s="12"/>
      <c r="C4" s="9"/>
      <c r="D4" s="14"/>
      <c r="E4" s="14"/>
      <c r="F4" s="10"/>
      <c r="H4" s="2" t="s">
        <v>3</v>
      </c>
      <c r="I4" s="2">
        <v>6</v>
      </c>
      <c r="K4" s="2" t="s">
        <v>3</v>
      </c>
      <c r="L4" s="2">
        <v>2</v>
      </c>
    </row>
    <row r="5" spans="1:12" ht="15" customHeight="1" x14ac:dyDescent="0.25">
      <c r="A5" s="7" t="s">
        <v>71</v>
      </c>
      <c r="B5" s="8"/>
      <c r="C5" s="9"/>
      <c r="D5" s="14"/>
      <c r="E5" s="14"/>
      <c r="F5" s="10"/>
      <c r="K5" s="1"/>
      <c r="L5" s="1"/>
    </row>
    <row r="6" spans="1:12" ht="15.75" customHeight="1" thickBot="1" x14ac:dyDescent="0.3">
      <c r="A6" s="11"/>
      <c r="B6" s="12"/>
      <c r="C6" s="9"/>
      <c r="D6" s="14"/>
      <c r="E6" s="14"/>
      <c r="F6" s="10"/>
      <c r="H6" s="2" t="s">
        <v>74</v>
      </c>
      <c r="I6" s="2">
        <f>SUMIFS(Data[Número],Data[Número],H6,Data[Número],H7)</f>
        <v>60</v>
      </c>
      <c r="K6" s="2" t="s">
        <v>74</v>
      </c>
      <c r="L6" s="2">
        <f>COUNTIFS(Data[Número],K6,Data[Número],K7)</f>
        <v>8</v>
      </c>
    </row>
    <row r="7" spans="1:12" ht="15" customHeight="1" x14ac:dyDescent="0.25">
      <c r="A7" s="7" t="s">
        <v>72</v>
      </c>
      <c r="B7" s="8"/>
      <c r="C7" s="9"/>
      <c r="D7" s="14"/>
      <c r="E7" s="14"/>
      <c r="F7" s="10"/>
      <c r="H7" s="2" t="s">
        <v>75</v>
      </c>
      <c r="K7" s="2" t="s">
        <v>75</v>
      </c>
      <c r="L7" s="1"/>
    </row>
    <row r="8" spans="1:12" ht="15.75" customHeight="1" thickBot="1" x14ac:dyDescent="0.3">
      <c r="A8" s="11"/>
      <c r="B8" s="12"/>
      <c r="C8" s="11"/>
      <c r="D8" s="15"/>
      <c r="E8" s="15"/>
      <c r="F8" s="12"/>
      <c r="K8" s="1"/>
      <c r="L8" s="1"/>
    </row>
    <row r="9" spans="1:12" ht="15.75" thickBot="1" x14ac:dyDescent="0.3">
      <c r="A9" s="56" t="str">
        <f ca="1">_xlfn.FORMULATEXT(I2)</f>
        <v>=SUMAR.SI.CONJUNTO(Data[Número];Data[Letras];'Operar Tablas'!H2:H4)</v>
      </c>
      <c r="B9" s="57"/>
      <c r="C9" s="57"/>
      <c r="D9" s="57"/>
      <c r="E9" s="57"/>
      <c r="F9" s="58"/>
    </row>
    <row r="10" spans="1:12" ht="15.75" thickBot="1" x14ac:dyDescent="0.3">
      <c r="A10" s="56" t="str">
        <f ca="1">_xlfn.FORMULATEXT(I6)</f>
        <v>=SUMAR.SI.CONJUNTO(Data[Número];Data[Número];H6;Data[Número];H7)</v>
      </c>
      <c r="B10" s="57"/>
      <c r="C10" s="57"/>
      <c r="D10" s="57"/>
      <c r="E10" s="57"/>
      <c r="F10" s="58"/>
    </row>
    <row r="11" spans="1:12" ht="15.75" thickBot="1" x14ac:dyDescent="0.3">
      <c r="I11" s="2" t="s">
        <v>71</v>
      </c>
      <c r="K11" s="1"/>
      <c r="L11" s="2" t="s">
        <v>19</v>
      </c>
    </row>
    <row r="12" spans="1:12" ht="15.75" thickBot="1" x14ac:dyDescent="0.3">
      <c r="A12" s="56" t="str">
        <f ca="1">_xlfn.FORMULATEXT(L2)</f>
        <v>=CONTAR.SI.CONJUNTO(Data[Letras];'Operar Tablas'!K2:K4)</v>
      </c>
      <c r="B12" s="57"/>
      <c r="C12" s="57"/>
      <c r="D12" s="57"/>
      <c r="E12" s="57"/>
      <c r="F12" s="58"/>
      <c r="H12" s="2" t="s">
        <v>1</v>
      </c>
      <c r="I12" s="2" cm="1">
        <f t="array" ref="I12:I14">AVERAGEIFS(Data[Número],Data[Letras],'Operar Tablas'!H2:H4)</f>
        <v>1</v>
      </c>
      <c r="K12" s="2" t="s">
        <v>1</v>
      </c>
      <c r="L12" s="2" cm="1">
        <f t="array" ref="L12:L14">_xlfn.MAXIFS(Data[Número],Data[Letras],'Operar Tablas'!H2:H4)</f>
        <v>1</v>
      </c>
    </row>
    <row r="13" spans="1:12" ht="15.75" thickBot="1" x14ac:dyDescent="0.3">
      <c r="A13" s="56" t="str">
        <f ca="1">_xlfn.FORMULATEXT(L6)</f>
        <v>=CONTAR.SI.CONJUNTO(Data[Número];K6;Data[Número];K7)</v>
      </c>
      <c r="B13" s="57"/>
      <c r="C13" s="57"/>
      <c r="D13" s="57"/>
      <c r="E13" s="57"/>
      <c r="F13" s="58"/>
      <c r="H13" s="2" t="s">
        <v>2</v>
      </c>
      <c r="I13" s="2">
        <v>2</v>
      </c>
      <c r="K13" s="2" t="s">
        <v>2</v>
      </c>
      <c r="L13" s="2">
        <v>2</v>
      </c>
    </row>
    <row r="14" spans="1:12" ht="15.75" thickBot="1" x14ac:dyDescent="0.3">
      <c r="H14" s="2" t="s">
        <v>3</v>
      </c>
      <c r="I14" s="2">
        <v>3</v>
      </c>
      <c r="K14" s="2" t="s">
        <v>3</v>
      </c>
      <c r="L14" s="2">
        <v>3</v>
      </c>
    </row>
    <row r="15" spans="1:12" ht="15.75" thickBot="1" x14ac:dyDescent="0.3">
      <c r="A15" s="56" t="str">
        <f ca="1">_xlfn.FORMULATEXT(I12)</f>
        <v>=PROMEDIO.SI.CONJUNTO(Data[Número];Data[Letras];'Operar Tablas'!H2:H4)</v>
      </c>
      <c r="B15" s="57"/>
      <c r="C15" s="57"/>
      <c r="D15" s="57"/>
      <c r="E15" s="57"/>
      <c r="F15" s="58"/>
      <c r="K15" s="1"/>
      <c r="L15" s="1"/>
    </row>
    <row r="16" spans="1:12" ht="15.75" thickBot="1" x14ac:dyDescent="0.3">
      <c r="A16" s="56" t="str">
        <f ca="1">_xlfn.FORMULATEXT(I16)</f>
        <v>=PROMEDIO.SI.CONJUNTO(Data[Número];Data[Número];H6;Data[Número];H7)</v>
      </c>
      <c r="B16" s="57"/>
      <c r="C16" s="57"/>
      <c r="D16" s="57"/>
      <c r="E16" s="57"/>
      <c r="F16" s="58"/>
      <c r="H16" s="2" t="s">
        <v>74</v>
      </c>
      <c r="I16" s="2">
        <f>AVERAGEIFS(Data[Número],Data[Número],H6,Data[Número],H7)</f>
        <v>7.5</v>
      </c>
      <c r="K16" s="2" t="s">
        <v>74</v>
      </c>
      <c r="L16" s="2">
        <f>_xlfn.MAXIFS(Data[Número],Data[Número],H6,Data[Número],H7)</f>
        <v>9</v>
      </c>
    </row>
    <row r="17" spans="8:12" x14ac:dyDescent="0.25">
      <c r="H17" s="2" t="s">
        <v>75</v>
      </c>
      <c r="K17" s="2" t="s">
        <v>75</v>
      </c>
      <c r="L17" s="1"/>
    </row>
  </sheetData>
  <mergeCells count="11">
    <mergeCell ref="A15:F15"/>
    <mergeCell ref="A16:F16"/>
    <mergeCell ref="A10:F10"/>
    <mergeCell ref="A12:F12"/>
    <mergeCell ref="A13:F13"/>
    <mergeCell ref="A1:B2"/>
    <mergeCell ref="C1:F8"/>
    <mergeCell ref="A3:B4"/>
    <mergeCell ref="A5:B6"/>
    <mergeCell ref="A7:B8"/>
    <mergeCell ref="A9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61F6-C49E-4CEB-99EC-137E225BFF19}">
  <dimension ref="A1"/>
  <sheetViews>
    <sheetView tabSelected="1" workbookViewId="0">
      <selection activeCell="D13" sqref="D13"/>
    </sheetView>
  </sheetViews>
  <sheetFormatPr baseColWidth="10" defaultRowHeight="15" x14ac:dyDescent="0.25"/>
  <cols>
    <col min="1" max="16384" width="11.42578125" style="3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2754CC-DF53-4C65-B121-22FECD3CB3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Tablas</vt:lpstr>
      <vt:lpstr>Buscar</vt:lpstr>
      <vt:lpstr>Manip Tablas</vt:lpstr>
      <vt:lpstr>Operar Tablas</vt:lpstr>
      <vt:lpstr>Resto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Espinosa</dc:creator>
  <cp:lastModifiedBy>Mario Espinosa</cp:lastModifiedBy>
  <dcterms:created xsi:type="dcterms:W3CDTF">2026-09-28T09:03:25Z</dcterms:created>
  <dcterms:modified xsi:type="dcterms:W3CDTF">2026-09-28T10:51:07Z</dcterms:modified>
</cp:coreProperties>
</file>